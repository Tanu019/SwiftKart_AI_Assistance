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nuc\OneDrive\Desktop\"/>
    </mc:Choice>
  </mc:AlternateContent>
  <xr:revisionPtr revIDLastSave="0" documentId="13_ncr:1_{2FBFC7DC-F221-4367-9719-0A1810571EBE}" xr6:coauthVersionLast="47" xr6:coauthVersionMax="47" xr10:uidLastSave="{00000000-0000-0000-0000-000000000000}"/>
  <bookViews>
    <workbookView xWindow="-108" yWindow="-108" windowWidth="23256" windowHeight="12456" xr2:uid="{AC006162-2908-4835-B463-0BF0F9A1E022}"/>
  </bookViews>
  <sheets>
    <sheet name="Online Sales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3" i="1"/>
  <c r="J4" i="1"/>
  <c r="J5" i="1"/>
  <c r="J2" i="1"/>
</calcChain>
</file>

<file path=xl/sharedStrings.xml><?xml version="1.0" encoding="utf-8"?>
<sst xmlns="http://schemas.openxmlformats.org/spreadsheetml/2006/main" count="975" uniqueCount="259">
  <si>
    <t>Transaction ID</t>
  </si>
  <si>
    <t>Date</t>
  </si>
  <si>
    <t>Product Category</t>
  </si>
  <si>
    <t>Product Name</t>
  </si>
  <si>
    <t>Units Sold</t>
  </si>
  <si>
    <t>Unit Price</t>
  </si>
  <si>
    <t>Total Revenue</t>
  </si>
  <si>
    <t>Region</t>
  </si>
  <si>
    <t>Payment Method</t>
  </si>
  <si>
    <t>Electronics</t>
  </si>
  <si>
    <t>iPhone 14 Pro</t>
  </si>
  <si>
    <t>North America</t>
  </si>
  <si>
    <t>Credit Card</t>
  </si>
  <si>
    <t>Home Appliances</t>
  </si>
  <si>
    <t>Dyson V11 Vacuum</t>
  </si>
  <si>
    <t>Europe</t>
  </si>
  <si>
    <t>PayPal</t>
  </si>
  <si>
    <t>Clothing</t>
  </si>
  <si>
    <t>Levi's 501 Jeans</t>
  </si>
  <si>
    <t>Asia</t>
  </si>
  <si>
    <t>Debit Card</t>
  </si>
  <si>
    <t>Books</t>
  </si>
  <si>
    <t>The Da Vinci Code</t>
  </si>
  <si>
    <t>Beauty Products</t>
  </si>
  <si>
    <t>Neutrogena Skincare Set</t>
  </si>
  <si>
    <t>Sports</t>
  </si>
  <si>
    <t>Wilson Evolution Basketball</t>
  </si>
  <si>
    <t>MacBook Pro 16-inch</t>
  </si>
  <si>
    <t>Blueair Classic 480i</t>
  </si>
  <si>
    <t>Nike Air Force 1</t>
  </si>
  <si>
    <t>Dune by Frank Herbert</t>
  </si>
  <si>
    <t>Chanel No. 5 Perfume</t>
  </si>
  <si>
    <t>Babolat Pure Drive Tennis Racket</t>
  </si>
  <si>
    <t>Samsung Galaxy Tab S8</t>
  </si>
  <si>
    <t>Keurig K-Elite Coffee Maker</t>
  </si>
  <si>
    <t>North Face Down Jacket</t>
  </si>
  <si>
    <t>Salt, Fat, Acid, Heat by Samin Nosrat</t>
  </si>
  <si>
    <t>Dyson Supersonic Hair Dryer</t>
  </si>
  <si>
    <t>Manduka PRO Yoga Mat</t>
  </si>
  <si>
    <t>Garmin Forerunner 945</t>
  </si>
  <si>
    <t>Ninja Professional Blender</t>
  </si>
  <si>
    <t>Zara Summer Dress</t>
  </si>
  <si>
    <t>Gone Girl by Gillian Flynn</t>
  </si>
  <si>
    <t>Olay Regenerist Face Cream</t>
  </si>
  <si>
    <t>Adidas FIFA World Cup Football</t>
  </si>
  <si>
    <t>Bose QuietComfort 35 Headphones</t>
  </si>
  <si>
    <t>Panasonic NN-SN966S Microwave</t>
  </si>
  <si>
    <t>Adidas Ultraboost Shoes</t>
  </si>
  <si>
    <t>Pride and Prejudice by Jane Austen</t>
  </si>
  <si>
    <t>MAC Ruby Woo Lipstick</t>
  </si>
  <si>
    <t>Nike Air Zoom Pegasus 37</t>
  </si>
  <si>
    <t>Sony WH-1000XM4 Headphones</t>
  </si>
  <si>
    <t>Instant Pot Duo</t>
  </si>
  <si>
    <t>Under Armour HeatGear T-Shirt</t>
  </si>
  <si>
    <t>1984 by George Orwell</t>
  </si>
  <si>
    <t>L'Oreal Revitalift Serum</t>
  </si>
  <si>
    <t>Peloton Bike</t>
  </si>
  <si>
    <t>Apple Watch Series 8</t>
  </si>
  <si>
    <t>Roomba i7+</t>
  </si>
  <si>
    <t>Columbia Fleece Jacket</t>
  </si>
  <si>
    <t>Harry Potter and the Sorcerer's Stone</t>
  </si>
  <si>
    <t>Estee Lauder Advanced Night Repair</t>
  </si>
  <si>
    <t>Fitbit Charge 5</t>
  </si>
  <si>
    <t>GoPro HERO10 Black</t>
  </si>
  <si>
    <t>Nespresso VertuoPlus</t>
  </si>
  <si>
    <t>Patagonia Better Sweater</t>
  </si>
  <si>
    <t>Becoming by Michelle Obama</t>
  </si>
  <si>
    <t>Clinique Moisture Surge</t>
  </si>
  <si>
    <t>Yeti Rambler Tumbler</t>
  </si>
  <si>
    <t>Kindle Paperwhite</t>
  </si>
  <si>
    <t>Breville Smart Oven</t>
  </si>
  <si>
    <t>Ray-Ban Aviator Sunglasses</t>
  </si>
  <si>
    <t>The Silent Patient by Alex Michaelides</t>
  </si>
  <si>
    <t>Shiseido Ultimate Sun Protector</t>
  </si>
  <si>
    <t>Titleist Pro V1 Golf Balls</t>
  </si>
  <si>
    <t>Anker PowerCore Portable Charger</t>
  </si>
  <si>
    <t>KitchenAid Artisan Stand Mixer</t>
  </si>
  <si>
    <t>Calvin Klein Boxer Briefs</t>
  </si>
  <si>
    <t>Educated by Tara Westover</t>
  </si>
  <si>
    <t>Anastasia Beverly Hills Brow Wiz</t>
  </si>
  <si>
    <t>Hyperice Hypervolt Massager</t>
  </si>
  <si>
    <t>Nintendo Switch</t>
  </si>
  <si>
    <t>Philips Airfryer XXL</t>
  </si>
  <si>
    <t>Hanes ComfortSoft T-Shirt</t>
  </si>
  <si>
    <t>Where the Crawdads Sing by Delia Owens</t>
  </si>
  <si>
    <t>Lancome La Vie Est Belle</t>
  </si>
  <si>
    <t>Garmin Edge 530</t>
  </si>
  <si>
    <t>Samsung QLED 4K TV</t>
  </si>
  <si>
    <t>Eufy RoboVac 11S</t>
  </si>
  <si>
    <t>Puma Suede Classic Sneakers</t>
  </si>
  <si>
    <t>The Great Gatsby by F. Scott Fitzgerald</t>
  </si>
  <si>
    <t>Drunk Elephant C-Firma Day Serum</t>
  </si>
  <si>
    <t>Nike Metcon 6</t>
  </si>
  <si>
    <t>HP Spectre x360 Laptop</t>
  </si>
  <si>
    <t>De'Longhi Magnifica Espresso Machine</t>
  </si>
  <si>
    <t>Tommy Hilfiger Polo Shirt</t>
  </si>
  <si>
    <t>To Kill a Mockingbird by Harper Lee</t>
  </si>
  <si>
    <t>Glossier Boy Brow</t>
  </si>
  <si>
    <t>Rogue Fitness Kettlebell</t>
  </si>
  <si>
    <t>Apple AirPods Pro</t>
  </si>
  <si>
    <t>Dyson Pure Cool Link</t>
  </si>
  <si>
    <t>Levi's Trucker Jacket</t>
  </si>
  <si>
    <t>The Hobbit by J.R.R. Tolkien</t>
  </si>
  <si>
    <t>Charlotte Tilbury Magic Cream</t>
  </si>
  <si>
    <t>Spalding NBA Street Basketball</t>
  </si>
  <si>
    <t>Ring Video Doorbell</t>
  </si>
  <si>
    <t>LG OLED TV</t>
  </si>
  <si>
    <t>Uniqlo Ultra Light Down Jacket</t>
  </si>
  <si>
    <t>The Catcher in the Rye by J.D. Salinger</t>
  </si>
  <si>
    <t>Sunday Riley Good Genes</t>
  </si>
  <si>
    <t>On Running Cloud Shoes</t>
  </si>
  <si>
    <t>Logitech MX Master 3 Mouse</t>
  </si>
  <si>
    <t>Instant Pot Duo Crisp</t>
  </si>
  <si>
    <t>Adidas Originals Superstar Sneakers</t>
  </si>
  <si>
    <t>The Alchemist by Paulo Coelho</t>
  </si>
  <si>
    <t>Tatcha The Water Cream</t>
  </si>
  <si>
    <t>Garmin Fenix 6X Pro</t>
  </si>
  <si>
    <t>Bose SoundLink Revolve+ Speaker</t>
  </si>
  <si>
    <t>Vitamix Explorian Blender</t>
  </si>
  <si>
    <t>Gap Essential Crewneck T-Shirt</t>
  </si>
  <si>
    <t>The Power of Now by Eckhart Tolle</t>
  </si>
  <si>
    <t>Kiehl's Midnight Recovery Concentrate</t>
  </si>
  <si>
    <t>Under Armour HOVR Sonic 4 Shoes</t>
  </si>
  <si>
    <t>Canon EOS R5 Camera</t>
  </si>
  <si>
    <t>Shark IQ Robot Vacuum</t>
  </si>
  <si>
    <t>H&amp;M Slim Fit Jeans</t>
  </si>
  <si>
    <t>The Girl on the Train by Paula Hawkins</t>
  </si>
  <si>
    <t>The Ordinary Niacinamide Serum</t>
  </si>
  <si>
    <t>Bowflex SelectTech 552 Dumbbells</t>
  </si>
  <si>
    <t>Google Nest Hub Max</t>
  </si>
  <si>
    <t>Cuisinart Griddler Deluxe</t>
  </si>
  <si>
    <t>Old Navy Relaxed-Fit T-Shirt</t>
  </si>
  <si>
    <t>Sapiens: A Brief History of Humankind by Yuval Noah Harari</t>
  </si>
  <si>
    <t>Biore UV Aqua Rich Watery Essence Sunscreen</t>
  </si>
  <si>
    <t>Fitbit Versa 3</t>
  </si>
  <si>
    <t>Amazon Echo Show 10</t>
  </si>
  <si>
    <t>Breville Smart Grill</t>
  </si>
  <si>
    <t>Gap High Rise Skinny Jeans</t>
  </si>
  <si>
    <t>Atomic Habits by James Clear</t>
  </si>
  <si>
    <t>CeraVe Hydrating Facial Cleanser</t>
  </si>
  <si>
    <t>YETI Hopper Flip Portable Cooler</t>
  </si>
  <si>
    <t>Apple iPad Air</t>
  </si>
  <si>
    <t>Hamilton Beach FlexBrew Coffee Maker</t>
  </si>
  <si>
    <t>Forever 21 Graphic Tee</t>
  </si>
  <si>
    <t>The Subtle Art of Not Giving a F*ck by Mark Manson</t>
  </si>
  <si>
    <t>NARS Radiant Creamy Concealer</t>
  </si>
  <si>
    <t>Yeti Roadie 24 Cooler</t>
  </si>
  <si>
    <t>Sony PlayStation 5</t>
  </si>
  <si>
    <t>Lululemon Align Leggings</t>
  </si>
  <si>
    <t>The Four Agreements by Don Miguel Ruiz</t>
  </si>
  <si>
    <t>Fenty Beauty Killawatt Highlighter</t>
  </si>
  <si>
    <t>Hydro Flask Wide Mouth Water Bottle</t>
  </si>
  <si>
    <t>Microsoft Surface Laptop 4</t>
  </si>
  <si>
    <t>Keurig K-Mini Coffee Maker</t>
  </si>
  <si>
    <t>Gap Crewneck Sweatshirt</t>
  </si>
  <si>
    <t>Think and Grow Rich by Napoleon Hill</t>
  </si>
  <si>
    <t>The Ordinary Hyaluronic Acid Serum</t>
  </si>
  <si>
    <t>Fitbit Inspire 2</t>
  </si>
  <si>
    <t>Samsung Odyssey G9 Gaming Monitor</t>
  </si>
  <si>
    <t>Instant Pot Ultra</t>
  </si>
  <si>
    <t>Adidas Essential Track Pants</t>
  </si>
  <si>
    <t>The Power of Habit by Charles Duhigg</t>
  </si>
  <si>
    <t>Clinique Dramatically Different Moisturizing Lotion</t>
  </si>
  <si>
    <t>YETI Tundra 45 Cooler</t>
  </si>
  <si>
    <t>Apple AirPods Max</t>
  </si>
  <si>
    <t>Cuisinart Coffee Center</t>
  </si>
  <si>
    <t>Levi's Sherpa Trucker Jacket</t>
  </si>
  <si>
    <t>The Outsiders by S.E. Hinton</t>
  </si>
  <si>
    <t>Laneige Water Sleeping Mask</t>
  </si>
  <si>
    <t>Bose SoundSport Wireless Earbuds</t>
  </si>
  <si>
    <t>Ninja Foodi Pressure Cooker</t>
  </si>
  <si>
    <t>Nike Sportswear Club Fleece Hoodie</t>
  </si>
  <si>
    <t>The Night Circus by Erin Morgenstern</t>
  </si>
  <si>
    <t>GlamGlow Supermud Clearing Treatment</t>
  </si>
  <si>
    <t>Garmin Forerunner 245</t>
  </si>
  <si>
    <t>Google Pixel 6 Pro</t>
  </si>
  <si>
    <t>Breville Nespresso Creatista Plus</t>
  </si>
  <si>
    <t>Under Armour Tech 2.0 T-Shirt</t>
  </si>
  <si>
    <t>The Art of War by Sun Tzu</t>
  </si>
  <si>
    <t>Youth to the People Superfood Antioxidant Cleanser</t>
  </si>
  <si>
    <t>TriggerPoint GRID Foam Roller</t>
  </si>
  <si>
    <t>Apple MacBook Air</t>
  </si>
  <si>
    <t>Cuisinart Custom 14-Cup Food Processor</t>
  </si>
  <si>
    <t>Adidas 3-Stripes Shorts</t>
  </si>
  <si>
    <t>The Hunger Games by Suzanne Collins</t>
  </si>
  <si>
    <t>Neutrogena Hydro Boost Water Gel</t>
  </si>
  <si>
    <t>Yeti Rambler Bottle</t>
  </si>
  <si>
    <t>Samsung Odyssey G7 Gaming Monitor</t>
  </si>
  <si>
    <t>Instant Pot Duo Evo Plus</t>
  </si>
  <si>
    <t>Nike Tempo Running Shorts</t>
  </si>
  <si>
    <t>The Girl with the Dragon Tattoo by Stieg Larsson</t>
  </si>
  <si>
    <t>Paula's Choice Skin Perfecting 2% BHA Liquid Exfoliant</t>
  </si>
  <si>
    <t>Bowflex SelectTech 1090 Adjustable Dumbbells</t>
  </si>
  <si>
    <t>Amazon Fire TV Stick 4K</t>
  </si>
  <si>
    <t>Crock-Pot 6-Quart Slow Cooker</t>
  </si>
  <si>
    <t>Uniqlo Airism Mesh Boxer Briefs</t>
  </si>
  <si>
    <t>The Sun Also Rises by Ernest Hemingway</t>
  </si>
  <si>
    <t>First Aid Beauty Ultra Repair Cream</t>
  </si>
  <si>
    <t>Oakley Holbrook Sunglasses</t>
  </si>
  <si>
    <t>Google Pixelbook Go</t>
  </si>
  <si>
    <t>Dyson V8 Absolute</t>
  </si>
  <si>
    <t>Levi's 511 Slim Fit Jeans</t>
  </si>
  <si>
    <t>The Martian by Andy Weir</t>
  </si>
  <si>
    <t>La Mer CrÃ¨me de la Mer Moisturizer</t>
  </si>
  <si>
    <t>Polar Vantage V2</t>
  </si>
  <si>
    <t>Sonos Beam Soundbar</t>
  </si>
  <si>
    <t>Anova Precision Cooker</t>
  </si>
  <si>
    <t>Nike Dri-FIT Training Shorts</t>
  </si>
  <si>
    <t>Glossier Cloud Paint</t>
  </si>
  <si>
    <t>TRX All-in-One Suspension Training System</t>
  </si>
  <si>
    <t>Logitech G Pro X Wireless Gaming Headset</t>
  </si>
  <si>
    <t>Breville Smart Coffee Grinder Pro</t>
  </si>
  <si>
    <t>Adidas Ultraboost Running Shoes</t>
  </si>
  <si>
    <t>The Road by Cormac McCarthy</t>
  </si>
  <si>
    <t>Tom Ford Black Orchid Perfume</t>
  </si>
  <si>
    <t>GoPro HERO9 Black</t>
  </si>
  <si>
    <t>Apple TV 4K</t>
  </si>
  <si>
    <t>Instant Pot Duo Nova</t>
  </si>
  <si>
    <t>Gap 1969 Original Fit Jeans</t>
  </si>
  <si>
    <t>The Goldfinch by Donna Tartt</t>
  </si>
  <si>
    <t>Dr. Jart+ Cicapair Tiger Grass Color Correcting Treatment</t>
  </si>
  <si>
    <t>Yeti Tundra Haul Portable Wheeled Cooler</t>
  </si>
  <si>
    <t>Samsung Galaxy Watch 4</t>
  </si>
  <si>
    <t>KitchenAid Stand Mixer</t>
  </si>
  <si>
    <t>Lululemon Wunder Under High-Rise Leggings</t>
  </si>
  <si>
    <t>The Great Alone by Kristin Hannah</t>
  </si>
  <si>
    <t>Caudalie Vinoperfect Radiance Serum</t>
  </si>
  <si>
    <t>Bose SoundLink Color Bluetooth Speaker II</t>
  </si>
  <si>
    <t>Canon EOS Rebel T7i DSLR Camera</t>
  </si>
  <si>
    <t>Uniqlo Airism Seamless Boxer Briefs</t>
  </si>
  <si>
    <t>L'Occitane Shea Butter Hand Cream</t>
  </si>
  <si>
    <t>YETI Tundra 65 Cooler</t>
  </si>
  <si>
    <t>Apple MacBook Pro 16-inch</t>
  </si>
  <si>
    <t>iRobot Braava Jet M6</t>
  </si>
  <si>
    <t>Champion Reverse Weave Hoodie</t>
  </si>
  <si>
    <t>The Nightingale by Kristin Hannah</t>
  </si>
  <si>
    <t>Tarte Shape Tape Concealer</t>
  </si>
  <si>
    <t>Amazon Echo Dot (4th Gen)</t>
  </si>
  <si>
    <t>Philips Sonicare DiamondClean Toothbrush</t>
  </si>
  <si>
    <t>Old Navy Mid-Rise Rockstar Super Skinny Jeans</t>
  </si>
  <si>
    <t>The Ordinary Caffeine Solution 5% + EGCG</t>
  </si>
  <si>
    <t>Fitbit Luxe</t>
  </si>
  <si>
    <t>Google Nest Wifi Router</t>
  </si>
  <si>
    <t>Anova Precision Oven</t>
  </si>
  <si>
    <t>Adidas Originals Trefoil Hoodie</t>
  </si>
  <si>
    <t>Fresh Sugar Lip Treatment</t>
  </si>
  <si>
    <t>Hydro Flask Standard Mouth Water Bottle</t>
  </si>
  <si>
    <t>Bose QuietComfort 35 II Wireless Headphones</t>
  </si>
  <si>
    <t>Nespresso Vertuo Next Coffee and Espresso Maker</t>
  </si>
  <si>
    <t>Nike Air Force 1 Sneakers</t>
  </si>
  <si>
    <t>The Handmaid's Tale by Margaret Atwood</t>
  </si>
  <si>
    <t>Sunday Riley Luna Sleeping Night Oil</t>
  </si>
  <si>
    <t>Yeti Rambler 20 oz Tumbler</t>
  </si>
  <si>
    <t>Profit</t>
  </si>
  <si>
    <t>Discount</t>
  </si>
  <si>
    <t>Order Month</t>
  </si>
  <si>
    <t>Order Year</t>
  </si>
  <si>
    <t>Customer Segment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</si>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</sst>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A26A5-4DB7-4A40-A937-416CA5D2FDBB}">
  <dimension ref="A1:O241"/>
  <sheetViews>
    <sheetView tabSelected="1" topLeftCell="C1" workbookViewId="0">
      <pane ySplit="1" topLeftCell="A227" activePane="bottomLeft" state="frozen"/>
      <selection pane="bottomLeft" activeCell="O2" sqref="O2:O241"/>
    </sheetView>
  </sheetViews>
  <sheetFormatPr defaultRowHeight="14.4" x14ac:dyDescent="0.3"/>
  <cols>
    <col min="1" max="1" width="12.44140625" bestFit="1" customWidth="1"/>
    <col min="2" max="2" width="10.33203125" bestFit="1" customWidth="1"/>
    <col min="3" max="3" width="15.21875" bestFit="1" customWidth="1"/>
    <col min="4" max="4" width="36.21875" customWidth="1"/>
    <col min="5" max="5" width="12.6640625" bestFit="1" customWidth="1"/>
    <col min="6" max="6" width="14.44140625" bestFit="1" customWidth="1"/>
    <col min="8" max="8" width="8.77734375" bestFit="1" customWidth="1"/>
    <col min="9" max="9" width="12.109375" bestFit="1" customWidth="1"/>
    <col min="13" max="13" width="9.6640625" bestFit="1" customWidth="1"/>
    <col min="14" max="14" width="16.33203125" bestFit="1" customWidth="1"/>
    <col min="15" max="15" width="11.109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8</v>
      </c>
      <c r="G1" t="s">
        <v>4</v>
      </c>
      <c r="H1" t="s">
        <v>5</v>
      </c>
      <c r="I1" t="s">
        <v>6</v>
      </c>
      <c r="J1" t="s">
        <v>253</v>
      </c>
      <c r="K1" t="s">
        <v>254</v>
      </c>
      <c r="L1" t="s">
        <v>255</v>
      </c>
      <c r="M1" t="s">
        <v>256</v>
      </c>
      <c r="N1" t="s">
        <v>257</v>
      </c>
      <c r="O1" t="s">
        <v>258</v>
      </c>
    </row>
    <row r="2" spans="1:15" x14ac:dyDescent="0.3">
      <c r="A2">
        <v>10001</v>
      </c>
      <c r="B2" s="1">
        <v>45292</v>
      </c>
      <c r="C2" t="s">
        <v>9</v>
      </c>
      <c r="D2" t="s">
        <v>10</v>
      </c>
      <c r="E2" t="s">
        <v>11</v>
      </c>
      <c r="F2" t="s">
        <v>12</v>
      </c>
      <c r="G2">
        <v>2</v>
      </c>
      <c r="H2">
        <v>999.99</v>
      </c>
      <c r="I2">
        <v>1999.98</v>
      </c>
      <c r="J2">
        <f>I2*0.25</f>
        <v>499.995</v>
      </c>
      <c r="L2" t="str">
        <f>TEXT(B:B,"mmm")</f>
        <v>Jan</v>
      </c>
      <c r="M2">
        <f>YEAR(B:B)</f>
        <v>2024</v>
      </c>
      <c r="N2" t="str">
        <f>IF(I2&lt;N1100,"Low",IF(I2&lt;500,"Medium","High"))</f>
        <v>High</v>
      </c>
      <c r="O2">
        <f>J2/I2</f>
        <v>0.25</v>
      </c>
    </row>
    <row r="3" spans="1:15" x14ac:dyDescent="0.3">
      <c r="A3">
        <v>10002</v>
      </c>
      <c r="B3" s="1">
        <v>45293</v>
      </c>
      <c r="C3" t="s">
        <v>13</v>
      </c>
      <c r="D3" t="s">
        <v>14</v>
      </c>
      <c r="E3" t="s">
        <v>15</v>
      </c>
      <c r="F3" t="s">
        <v>16</v>
      </c>
      <c r="G3">
        <v>1</v>
      </c>
      <c r="H3">
        <v>499.99</v>
      </c>
      <c r="I3">
        <v>499.99</v>
      </c>
      <c r="J3">
        <f t="shared" ref="J3:J66" si="0">I3*0.25</f>
        <v>124.9975</v>
      </c>
      <c r="L3" t="str">
        <f t="shared" ref="L3:L66" si="1">TEXT(B:B,"mmm")</f>
        <v>Jan</v>
      </c>
      <c r="M3">
        <f t="shared" ref="M3:M66" si="2">YEAR(B:B)</f>
        <v>2024</v>
      </c>
      <c r="N3" t="str">
        <f t="shared" ref="N3:N66" si="3">IF(I3&lt;100,"Low",IF(I3&lt;500,"Medium","High"))</f>
        <v>Medium</v>
      </c>
      <c r="O3">
        <f t="shared" ref="O3:O66" si="4">J3/I3</f>
        <v>0.25</v>
      </c>
    </row>
    <row r="4" spans="1:15" x14ac:dyDescent="0.3">
      <c r="A4">
        <v>10003</v>
      </c>
      <c r="B4" s="1">
        <v>45294</v>
      </c>
      <c r="C4" t="s">
        <v>17</v>
      </c>
      <c r="D4" t="s">
        <v>18</v>
      </c>
      <c r="E4" t="s">
        <v>19</v>
      </c>
      <c r="F4" t="s">
        <v>20</v>
      </c>
      <c r="G4">
        <v>3</v>
      </c>
      <c r="H4">
        <v>69.989999999999995</v>
      </c>
      <c r="I4">
        <v>209.97</v>
      </c>
      <c r="J4">
        <f t="shared" si="0"/>
        <v>52.4925</v>
      </c>
      <c r="L4" t="str">
        <f t="shared" si="1"/>
        <v>Jan</v>
      </c>
      <c r="M4">
        <f t="shared" si="2"/>
        <v>2024</v>
      </c>
      <c r="N4" t="str">
        <f t="shared" si="3"/>
        <v>Medium</v>
      </c>
      <c r="O4">
        <f t="shared" si="4"/>
        <v>0.25</v>
      </c>
    </row>
    <row r="5" spans="1:15" x14ac:dyDescent="0.3">
      <c r="A5">
        <v>10004</v>
      </c>
      <c r="B5" s="1">
        <v>45295</v>
      </c>
      <c r="C5" t="s">
        <v>21</v>
      </c>
      <c r="D5" t="s">
        <v>22</v>
      </c>
      <c r="E5" t="s">
        <v>11</v>
      </c>
      <c r="F5" t="s">
        <v>12</v>
      </c>
      <c r="G5">
        <v>4</v>
      </c>
      <c r="H5">
        <v>15.99</v>
      </c>
      <c r="I5">
        <v>63.96</v>
      </c>
      <c r="J5">
        <f t="shared" si="0"/>
        <v>15.99</v>
      </c>
      <c r="L5" t="str">
        <f t="shared" si="1"/>
        <v>Jan</v>
      </c>
      <c r="M5">
        <f t="shared" si="2"/>
        <v>2024</v>
      </c>
      <c r="N5" t="str">
        <f t="shared" si="3"/>
        <v>Low</v>
      </c>
      <c r="O5">
        <f t="shared" si="4"/>
        <v>0.25</v>
      </c>
    </row>
    <row r="6" spans="1:15" x14ac:dyDescent="0.3">
      <c r="A6">
        <v>10005</v>
      </c>
      <c r="B6" s="1">
        <v>45296</v>
      </c>
      <c r="C6" t="s">
        <v>23</v>
      </c>
      <c r="D6" t="s">
        <v>24</v>
      </c>
      <c r="E6" t="s">
        <v>15</v>
      </c>
      <c r="F6" t="s">
        <v>16</v>
      </c>
      <c r="G6">
        <v>1</v>
      </c>
      <c r="H6">
        <v>89.99</v>
      </c>
      <c r="I6">
        <v>89.99</v>
      </c>
      <c r="J6">
        <f t="shared" si="0"/>
        <v>22.497499999999999</v>
      </c>
      <c r="L6" t="str">
        <f t="shared" si="1"/>
        <v>Jan</v>
      </c>
      <c r="M6">
        <f t="shared" si="2"/>
        <v>2024</v>
      </c>
      <c r="N6" t="str">
        <f t="shared" si="3"/>
        <v>Low</v>
      </c>
      <c r="O6">
        <f t="shared" si="4"/>
        <v>0.25</v>
      </c>
    </row>
    <row r="7" spans="1:15" x14ac:dyDescent="0.3">
      <c r="A7">
        <v>10006</v>
      </c>
      <c r="B7" s="1">
        <v>45297</v>
      </c>
      <c r="C7" t="s">
        <v>25</v>
      </c>
      <c r="D7" t="s">
        <v>26</v>
      </c>
      <c r="E7" t="s">
        <v>19</v>
      </c>
      <c r="F7" t="s">
        <v>12</v>
      </c>
      <c r="G7">
        <v>5</v>
      </c>
      <c r="H7">
        <v>29.99</v>
      </c>
      <c r="I7">
        <v>149.94999999999999</v>
      </c>
      <c r="J7">
        <f t="shared" si="0"/>
        <v>37.487499999999997</v>
      </c>
      <c r="L7" t="str">
        <f t="shared" si="1"/>
        <v>Jan</v>
      </c>
      <c r="M7">
        <f t="shared" si="2"/>
        <v>2024</v>
      </c>
      <c r="N7" t="str">
        <f t="shared" si="3"/>
        <v>Medium</v>
      </c>
      <c r="O7">
        <f t="shared" si="4"/>
        <v>0.25</v>
      </c>
    </row>
    <row r="8" spans="1:15" x14ac:dyDescent="0.3">
      <c r="A8">
        <v>10007</v>
      </c>
      <c r="B8" s="1">
        <v>45298</v>
      </c>
      <c r="C8" t="s">
        <v>9</v>
      </c>
      <c r="D8" t="s">
        <v>27</v>
      </c>
      <c r="E8" t="s">
        <v>11</v>
      </c>
      <c r="F8" t="s">
        <v>12</v>
      </c>
      <c r="G8">
        <v>1</v>
      </c>
      <c r="H8">
        <v>2499.9899999999998</v>
      </c>
      <c r="I8">
        <v>2499.9899999999998</v>
      </c>
      <c r="J8">
        <f t="shared" si="0"/>
        <v>624.99749999999995</v>
      </c>
      <c r="L8" t="str">
        <f t="shared" si="1"/>
        <v>Jan</v>
      </c>
      <c r="M8">
        <f t="shared" si="2"/>
        <v>2024</v>
      </c>
      <c r="N8" t="str">
        <f t="shared" si="3"/>
        <v>High</v>
      </c>
      <c r="O8">
        <f t="shared" si="4"/>
        <v>0.25</v>
      </c>
    </row>
    <row r="9" spans="1:15" x14ac:dyDescent="0.3">
      <c r="A9">
        <v>10008</v>
      </c>
      <c r="B9" s="1">
        <v>45299</v>
      </c>
      <c r="C9" t="s">
        <v>13</v>
      </c>
      <c r="D9" t="s">
        <v>28</v>
      </c>
      <c r="E9" t="s">
        <v>15</v>
      </c>
      <c r="F9" t="s">
        <v>16</v>
      </c>
      <c r="G9">
        <v>2</v>
      </c>
      <c r="H9">
        <v>599.99</v>
      </c>
      <c r="I9">
        <v>1199.98</v>
      </c>
      <c r="J9">
        <f t="shared" si="0"/>
        <v>299.995</v>
      </c>
      <c r="L9" t="str">
        <f t="shared" si="1"/>
        <v>Jan</v>
      </c>
      <c r="M9">
        <f t="shared" si="2"/>
        <v>2024</v>
      </c>
      <c r="N9" t="str">
        <f t="shared" si="3"/>
        <v>High</v>
      </c>
      <c r="O9">
        <f t="shared" si="4"/>
        <v>0.25</v>
      </c>
    </row>
    <row r="10" spans="1:15" x14ac:dyDescent="0.3">
      <c r="A10">
        <v>10009</v>
      </c>
      <c r="B10" s="1">
        <v>45300</v>
      </c>
      <c r="C10" t="s">
        <v>17</v>
      </c>
      <c r="D10" t="s">
        <v>29</v>
      </c>
      <c r="E10" t="s">
        <v>19</v>
      </c>
      <c r="F10" t="s">
        <v>20</v>
      </c>
      <c r="G10">
        <v>6</v>
      </c>
      <c r="H10">
        <v>89.99</v>
      </c>
      <c r="I10">
        <v>539.94000000000005</v>
      </c>
      <c r="J10">
        <f t="shared" si="0"/>
        <v>134.98500000000001</v>
      </c>
      <c r="L10" t="str">
        <f t="shared" si="1"/>
        <v>Jan</v>
      </c>
      <c r="M10">
        <f t="shared" si="2"/>
        <v>2024</v>
      </c>
      <c r="N10" t="str">
        <f t="shared" si="3"/>
        <v>High</v>
      </c>
      <c r="O10">
        <f t="shared" si="4"/>
        <v>0.25</v>
      </c>
    </row>
    <row r="11" spans="1:15" x14ac:dyDescent="0.3">
      <c r="A11">
        <v>10010</v>
      </c>
      <c r="B11" s="1">
        <v>45301</v>
      </c>
      <c r="C11" t="s">
        <v>21</v>
      </c>
      <c r="D11" t="s">
        <v>30</v>
      </c>
      <c r="E11" t="s">
        <v>11</v>
      </c>
      <c r="F11" t="s">
        <v>12</v>
      </c>
      <c r="G11">
        <v>2</v>
      </c>
      <c r="H11">
        <v>25.99</v>
      </c>
      <c r="I11">
        <v>51.98</v>
      </c>
      <c r="J11">
        <f t="shared" si="0"/>
        <v>12.994999999999999</v>
      </c>
      <c r="L11" t="str">
        <f t="shared" si="1"/>
        <v>Jan</v>
      </c>
      <c r="M11">
        <f t="shared" si="2"/>
        <v>2024</v>
      </c>
      <c r="N11" t="str">
        <f t="shared" si="3"/>
        <v>Low</v>
      </c>
      <c r="O11">
        <f t="shared" si="4"/>
        <v>0.25</v>
      </c>
    </row>
    <row r="12" spans="1:15" x14ac:dyDescent="0.3">
      <c r="A12">
        <v>10011</v>
      </c>
      <c r="B12" s="1">
        <v>45302</v>
      </c>
      <c r="C12" t="s">
        <v>23</v>
      </c>
      <c r="D12" t="s">
        <v>31</v>
      </c>
      <c r="E12" t="s">
        <v>15</v>
      </c>
      <c r="F12" t="s">
        <v>16</v>
      </c>
      <c r="G12">
        <v>1</v>
      </c>
      <c r="H12">
        <v>129.99</v>
      </c>
      <c r="I12">
        <v>129.99</v>
      </c>
      <c r="J12">
        <f t="shared" si="0"/>
        <v>32.497500000000002</v>
      </c>
      <c r="L12" t="str">
        <f t="shared" si="1"/>
        <v>Jan</v>
      </c>
      <c r="M12">
        <f t="shared" si="2"/>
        <v>2024</v>
      </c>
      <c r="N12" t="str">
        <f t="shared" si="3"/>
        <v>Medium</v>
      </c>
      <c r="O12">
        <f t="shared" si="4"/>
        <v>0.25</v>
      </c>
    </row>
    <row r="13" spans="1:15" x14ac:dyDescent="0.3">
      <c r="A13">
        <v>10012</v>
      </c>
      <c r="B13" s="1">
        <v>45303</v>
      </c>
      <c r="C13" t="s">
        <v>25</v>
      </c>
      <c r="D13" t="s">
        <v>32</v>
      </c>
      <c r="E13" t="s">
        <v>19</v>
      </c>
      <c r="F13" t="s">
        <v>12</v>
      </c>
      <c r="G13">
        <v>3</v>
      </c>
      <c r="H13">
        <v>199.99</v>
      </c>
      <c r="I13">
        <v>599.97</v>
      </c>
      <c r="J13">
        <f t="shared" si="0"/>
        <v>149.99250000000001</v>
      </c>
      <c r="L13" t="str">
        <f t="shared" si="1"/>
        <v>Jan</v>
      </c>
      <c r="M13">
        <f t="shared" si="2"/>
        <v>2024</v>
      </c>
      <c r="N13" t="str">
        <f t="shared" si="3"/>
        <v>High</v>
      </c>
      <c r="O13">
        <f t="shared" si="4"/>
        <v>0.25</v>
      </c>
    </row>
    <row r="14" spans="1:15" x14ac:dyDescent="0.3">
      <c r="A14">
        <v>10013</v>
      </c>
      <c r="B14" s="1">
        <v>45304</v>
      </c>
      <c r="C14" t="s">
        <v>9</v>
      </c>
      <c r="D14" t="s">
        <v>33</v>
      </c>
      <c r="E14" t="s">
        <v>11</v>
      </c>
      <c r="F14" t="s">
        <v>12</v>
      </c>
      <c r="G14">
        <v>2</v>
      </c>
      <c r="H14">
        <v>749.99</v>
      </c>
      <c r="I14">
        <v>1499.98</v>
      </c>
      <c r="J14">
        <f t="shared" si="0"/>
        <v>374.995</v>
      </c>
      <c r="L14" t="str">
        <f t="shared" si="1"/>
        <v>Jan</v>
      </c>
      <c r="M14">
        <f t="shared" si="2"/>
        <v>2024</v>
      </c>
      <c r="N14" t="str">
        <f t="shared" si="3"/>
        <v>High</v>
      </c>
      <c r="O14">
        <f t="shared" si="4"/>
        <v>0.25</v>
      </c>
    </row>
    <row r="15" spans="1:15" x14ac:dyDescent="0.3">
      <c r="A15">
        <v>10014</v>
      </c>
      <c r="B15" s="1">
        <v>45305</v>
      </c>
      <c r="C15" t="s">
        <v>13</v>
      </c>
      <c r="D15" t="s">
        <v>34</v>
      </c>
      <c r="E15" t="s">
        <v>15</v>
      </c>
      <c r="F15" t="s">
        <v>16</v>
      </c>
      <c r="G15">
        <v>1</v>
      </c>
      <c r="H15">
        <v>189.99</v>
      </c>
      <c r="I15">
        <v>189.99</v>
      </c>
      <c r="J15">
        <f t="shared" si="0"/>
        <v>47.497500000000002</v>
      </c>
      <c r="L15" t="str">
        <f t="shared" si="1"/>
        <v>Jan</v>
      </c>
      <c r="M15">
        <f t="shared" si="2"/>
        <v>2024</v>
      </c>
      <c r="N15" t="str">
        <f t="shared" si="3"/>
        <v>Medium</v>
      </c>
      <c r="O15">
        <f t="shared" si="4"/>
        <v>0.25</v>
      </c>
    </row>
    <row r="16" spans="1:15" x14ac:dyDescent="0.3">
      <c r="A16">
        <v>10015</v>
      </c>
      <c r="B16" s="1">
        <v>45306</v>
      </c>
      <c r="C16" t="s">
        <v>17</v>
      </c>
      <c r="D16" t="s">
        <v>35</v>
      </c>
      <c r="E16" t="s">
        <v>19</v>
      </c>
      <c r="F16" t="s">
        <v>20</v>
      </c>
      <c r="G16">
        <v>2</v>
      </c>
      <c r="H16">
        <v>249.99</v>
      </c>
      <c r="I16">
        <v>499.98</v>
      </c>
      <c r="J16">
        <f t="shared" si="0"/>
        <v>124.995</v>
      </c>
      <c r="L16" t="str">
        <f t="shared" si="1"/>
        <v>Jan</v>
      </c>
      <c r="M16">
        <f t="shared" si="2"/>
        <v>2024</v>
      </c>
      <c r="N16" t="str">
        <f t="shared" si="3"/>
        <v>Medium</v>
      </c>
      <c r="O16">
        <f t="shared" si="4"/>
        <v>0.25</v>
      </c>
    </row>
    <row r="17" spans="1:15" x14ac:dyDescent="0.3">
      <c r="A17">
        <v>10016</v>
      </c>
      <c r="B17" s="1">
        <v>45307</v>
      </c>
      <c r="C17" t="s">
        <v>21</v>
      </c>
      <c r="D17" t="s">
        <v>36</v>
      </c>
      <c r="E17" t="s">
        <v>11</v>
      </c>
      <c r="F17" t="s">
        <v>12</v>
      </c>
      <c r="G17">
        <v>3</v>
      </c>
      <c r="H17">
        <v>35.99</v>
      </c>
      <c r="I17">
        <v>107.97</v>
      </c>
      <c r="J17">
        <f t="shared" si="0"/>
        <v>26.9925</v>
      </c>
      <c r="L17" t="str">
        <f t="shared" si="1"/>
        <v>Jan</v>
      </c>
      <c r="M17">
        <f t="shared" si="2"/>
        <v>2024</v>
      </c>
      <c r="N17" t="str">
        <f t="shared" si="3"/>
        <v>Medium</v>
      </c>
      <c r="O17">
        <f t="shared" si="4"/>
        <v>0.25</v>
      </c>
    </row>
    <row r="18" spans="1:15" x14ac:dyDescent="0.3">
      <c r="A18">
        <v>10017</v>
      </c>
      <c r="B18" s="1">
        <v>45308</v>
      </c>
      <c r="C18" t="s">
        <v>23</v>
      </c>
      <c r="D18" t="s">
        <v>37</v>
      </c>
      <c r="E18" t="s">
        <v>15</v>
      </c>
      <c r="F18" t="s">
        <v>16</v>
      </c>
      <c r="G18">
        <v>1</v>
      </c>
      <c r="H18">
        <v>399.99</v>
      </c>
      <c r="I18">
        <v>399.99</v>
      </c>
      <c r="J18">
        <f t="shared" si="0"/>
        <v>99.997500000000002</v>
      </c>
      <c r="L18" t="str">
        <f t="shared" si="1"/>
        <v>Jan</v>
      </c>
      <c r="M18">
        <f t="shared" si="2"/>
        <v>2024</v>
      </c>
      <c r="N18" t="str">
        <f t="shared" si="3"/>
        <v>Medium</v>
      </c>
      <c r="O18">
        <f t="shared" si="4"/>
        <v>0.25</v>
      </c>
    </row>
    <row r="19" spans="1:15" x14ac:dyDescent="0.3">
      <c r="A19">
        <v>10018</v>
      </c>
      <c r="B19" s="1">
        <v>45309</v>
      </c>
      <c r="C19" t="s">
        <v>25</v>
      </c>
      <c r="D19" t="s">
        <v>38</v>
      </c>
      <c r="E19" t="s">
        <v>19</v>
      </c>
      <c r="F19" t="s">
        <v>12</v>
      </c>
      <c r="G19">
        <v>4</v>
      </c>
      <c r="H19">
        <v>119.99</v>
      </c>
      <c r="I19">
        <v>479.96</v>
      </c>
      <c r="J19">
        <f t="shared" si="0"/>
        <v>119.99</v>
      </c>
      <c r="L19" t="str">
        <f t="shared" si="1"/>
        <v>Jan</v>
      </c>
      <c r="M19">
        <f t="shared" si="2"/>
        <v>2024</v>
      </c>
      <c r="N19" t="str">
        <f t="shared" si="3"/>
        <v>Medium</v>
      </c>
      <c r="O19">
        <f t="shared" si="4"/>
        <v>0.25</v>
      </c>
    </row>
    <row r="20" spans="1:15" x14ac:dyDescent="0.3">
      <c r="A20">
        <v>10019</v>
      </c>
      <c r="B20" s="1">
        <v>45310</v>
      </c>
      <c r="C20" t="s">
        <v>9</v>
      </c>
      <c r="D20" t="s">
        <v>39</v>
      </c>
      <c r="E20" t="s">
        <v>11</v>
      </c>
      <c r="F20" t="s">
        <v>12</v>
      </c>
      <c r="G20">
        <v>2</v>
      </c>
      <c r="H20">
        <v>499.99</v>
      </c>
      <c r="I20">
        <v>999.98</v>
      </c>
      <c r="J20">
        <f t="shared" si="0"/>
        <v>249.995</v>
      </c>
      <c r="L20" t="str">
        <f t="shared" si="1"/>
        <v>Jan</v>
      </c>
      <c r="M20">
        <f t="shared" si="2"/>
        <v>2024</v>
      </c>
      <c r="N20" t="str">
        <f t="shared" si="3"/>
        <v>High</v>
      </c>
      <c r="O20">
        <f t="shared" si="4"/>
        <v>0.25</v>
      </c>
    </row>
    <row r="21" spans="1:15" x14ac:dyDescent="0.3">
      <c r="A21">
        <v>10020</v>
      </c>
      <c r="B21" s="1">
        <v>45311</v>
      </c>
      <c r="C21" t="s">
        <v>13</v>
      </c>
      <c r="D21" t="s">
        <v>40</v>
      </c>
      <c r="E21" t="s">
        <v>15</v>
      </c>
      <c r="F21" t="s">
        <v>16</v>
      </c>
      <c r="G21">
        <v>1</v>
      </c>
      <c r="H21">
        <v>99.99</v>
      </c>
      <c r="I21">
        <v>99.99</v>
      </c>
      <c r="J21">
        <f t="shared" si="0"/>
        <v>24.997499999999999</v>
      </c>
      <c r="L21" t="str">
        <f t="shared" si="1"/>
        <v>Jan</v>
      </c>
      <c r="M21">
        <f t="shared" si="2"/>
        <v>2024</v>
      </c>
      <c r="N21" t="str">
        <f t="shared" si="3"/>
        <v>Low</v>
      </c>
      <c r="O21">
        <f t="shared" si="4"/>
        <v>0.25</v>
      </c>
    </row>
    <row r="22" spans="1:15" x14ac:dyDescent="0.3">
      <c r="A22">
        <v>10021</v>
      </c>
      <c r="B22" s="1">
        <v>45312</v>
      </c>
      <c r="C22" t="s">
        <v>17</v>
      </c>
      <c r="D22" t="s">
        <v>41</v>
      </c>
      <c r="E22" t="s">
        <v>19</v>
      </c>
      <c r="F22" t="s">
        <v>20</v>
      </c>
      <c r="G22">
        <v>3</v>
      </c>
      <c r="H22">
        <v>59.99</v>
      </c>
      <c r="I22">
        <v>179.97</v>
      </c>
      <c r="J22">
        <f t="shared" si="0"/>
        <v>44.9925</v>
      </c>
      <c r="L22" t="str">
        <f t="shared" si="1"/>
        <v>Jan</v>
      </c>
      <c r="M22">
        <f t="shared" si="2"/>
        <v>2024</v>
      </c>
      <c r="N22" t="str">
        <f t="shared" si="3"/>
        <v>Medium</v>
      </c>
      <c r="O22">
        <f t="shared" si="4"/>
        <v>0.25</v>
      </c>
    </row>
    <row r="23" spans="1:15" x14ac:dyDescent="0.3">
      <c r="A23">
        <v>10022</v>
      </c>
      <c r="B23" s="1">
        <v>45313</v>
      </c>
      <c r="C23" t="s">
        <v>21</v>
      </c>
      <c r="D23" t="s">
        <v>42</v>
      </c>
      <c r="E23" t="s">
        <v>11</v>
      </c>
      <c r="F23" t="s">
        <v>12</v>
      </c>
      <c r="G23">
        <v>2</v>
      </c>
      <c r="H23">
        <v>22.99</v>
      </c>
      <c r="I23">
        <v>45.98</v>
      </c>
      <c r="J23">
        <f t="shared" si="0"/>
        <v>11.494999999999999</v>
      </c>
      <c r="L23" t="str">
        <f t="shared" si="1"/>
        <v>Jan</v>
      </c>
      <c r="M23">
        <f t="shared" si="2"/>
        <v>2024</v>
      </c>
      <c r="N23" t="str">
        <f t="shared" si="3"/>
        <v>Low</v>
      </c>
      <c r="O23">
        <f t="shared" si="4"/>
        <v>0.25</v>
      </c>
    </row>
    <row r="24" spans="1:15" x14ac:dyDescent="0.3">
      <c r="A24">
        <v>10023</v>
      </c>
      <c r="B24" s="1">
        <v>45314</v>
      </c>
      <c r="C24" t="s">
        <v>23</v>
      </c>
      <c r="D24" t="s">
        <v>43</v>
      </c>
      <c r="E24" t="s">
        <v>15</v>
      </c>
      <c r="F24" t="s">
        <v>16</v>
      </c>
      <c r="G24">
        <v>1</v>
      </c>
      <c r="H24">
        <v>49.99</v>
      </c>
      <c r="I24">
        <v>49.99</v>
      </c>
      <c r="J24">
        <f t="shared" si="0"/>
        <v>12.4975</v>
      </c>
      <c r="L24" t="str">
        <f t="shared" si="1"/>
        <v>Jan</v>
      </c>
      <c r="M24">
        <f t="shared" si="2"/>
        <v>2024</v>
      </c>
      <c r="N24" t="str">
        <f t="shared" si="3"/>
        <v>Low</v>
      </c>
      <c r="O24">
        <f t="shared" si="4"/>
        <v>0.25</v>
      </c>
    </row>
    <row r="25" spans="1:15" x14ac:dyDescent="0.3">
      <c r="A25">
        <v>10024</v>
      </c>
      <c r="B25" s="1">
        <v>45315</v>
      </c>
      <c r="C25" t="s">
        <v>25</v>
      </c>
      <c r="D25" t="s">
        <v>44</v>
      </c>
      <c r="E25" t="s">
        <v>19</v>
      </c>
      <c r="F25" t="s">
        <v>12</v>
      </c>
      <c r="G25">
        <v>3</v>
      </c>
      <c r="H25">
        <v>29.99</v>
      </c>
      <c r="I25">
        <v>89.97</v>
      </c>
      <c r="J25">
        <f t="shared" si="0"/>
        <v>22.4925</v>
      </c>
      <c r="L25" t="str">
        <f t="shared" si="1"/>
        <v>Jan</v>
      </c>
      <c r="M25">
        <f t="shared" si="2"/>
        <v>2024</v>
      </c>
      <c r="N25" t="str">
        <f t="shared" si="3"/>
        <v>Low</v>
      </c>
      <c r="O25">
        <f t="shared" si="4"/>
        <v>0.25</v>
      </c>
    </row>
    <row r="26" spans="1:15" x14ac:dyDescent="0.3">
      <c r="A26">
        <v>10025</v>
      </c>
      <c r="B26" s="1">
        <v>45316</v>
      </c>
      <c r="C26" t="s">
        <v>9</v>
      </c>
      <c r="D26" t="s">
        <v>45</v>
      </c>
      <c r="E26" t="s">
        <v>11</v>
      </c>
      <c r="F26" t="s">
        <v>12</v>
      </c>
      <c r="G26">
        <v>1</v>
      </c>
      <c r="H26">
        <v>299.99</v>
      </c>
      <c r="I26">
        <v>299.99</v>
      </c>
      <c r="J26">
        <f t="shared" si="0"/>
        <v>74.997500000000002</v>
      </c>
      <c r="L26" t="str">
        <f t="shared" si="1"/>
        <v>Jan</v>
      </c>
      <c r="M26">
        <f t="shared" si="2"/>
        <v>2024</v>
      </c>
      <c r="N26" t="str">
        <f t="shared" si="3"/>
        <v>Medium</v>
      </c>
      <c r="O26">
        <f t="shared" si="4"/>
        <v>0.25</v>
      </c>
    </row>
    <row r="27" spans="1:15" x14ac:dyDescent="0.3">
      <c r="A27">
        <v>10026</v>
      </c>
      <c r="B27" s="1">
        <v>45317</v>
      </c>
      <c r="C27" t="s">
        <v>13</v>
      </c>
      <c r="D27" t="s">
        <v>46</v>
      </c>
      <c r="E27" t="s">
        <v>15</v>
      </c>
      <c r="F27" t="s">
        <v>16</v>
      </c>
      <c r="G27">
        <v>1</v>
      </c>
      <c r="H27">
        <v>179.99</v>
      </c>
      <c r="I27">
        <v>179.99</v>
      </c>
      <c r="J27">
        <f t="shared" si="0"/>
        <v>44.997500000000002</v>
      </c>
      <c r="L27" t="str">
        <f t="shared" si="1"/>
        <v>Jan</v>
      </c>
      <c r="M27">
        <f t="shared" si="2"/>
        <v>2024</v>
      </c>
      <c r="N27" t="str">
        <f t="shared" si="3"/>
        <v>Medium</v>
      </c>
      <c r="O27">
        <f t="shared" si="4"/>
        <v>0.25</v>
      </c>
    </row>
    <row r="28" spans="1:15" x14ac:dyDescent="0.3">
      <c r="A28">
        <v>10027</v>
      </c>
      <c r="B28" s="1">
        <v>45318</v>
      </c>
      <c r="C28" t="s">
        <v>17</v>
      </c>
      <c r="D28" t="s">
        <v>47</v>
      </c>
      <c r="E28" t="s">
        <v>19</v>
      </c>
      <c r="F28" t="s">
        <v>20</v>
      </c>
      <c r="G28">
        <v>2</v>
      </c>
      <c r="H28">
        <v>179.99</v>
      </c>
      <c r="I28">
        <v>359.98</v>
      </c>
      <c r="J28">
        <f t="shared" si="0"/>
        <v>89.995000000000005</v>
      </c>
      <c r="L28" t="str">
        <f t="shared" si="1"/>
        <v>Jan</v>
      </c>
      <c r="M28">
        <f t="shared" si="2"/>
        <v>2024</v>
      </c>
      <c r="N28" t="str">
        <f t="shared" si="3"/>
        <v>Medium</v>
      </c>
      <c r="O28">
        <f t="shared" si="4"/>
        <v>0.25</v>
      </c>
    </row>
    <row r="29" spans="1:15" x14ac:dyDescent="0.3">
      <c r="A29">
        <v>10028</v>
      </c>
      <c r="B29" s="1">
        <v>45319</v>
      </c>
      <c r="C29" t="s">
        <v>21</v>
      </c>
      <c r="D29" t="s">
        <v>48</v>
      </c>
      <c r="E29" t="s">
        <v>11</v>
      </c>
      <c r="F29" t="s">
        <v>12</v>
      </c>
      <c r="G29">
        <v>3</v>
      </c>
      <c r="H29">
        <v>12.99</v>
      </c>
      <c r="I29">
        <v>38.97</v>
      </c>
      <c r="J29">
        <f t="shared" si="0"/>
        <v>9.7424999999999997</v>
      </c>
      <c r="L29" t="str">
        <f t="shared" si="1"/>
        <v>Jan</v>
      </c>
      <c r="M29">
        <f t="shared" si="2"/>
        <v>2024</v>
      </c>
      <c r="N29" t="str">
        <f t="shared" si="3"/>
        <v>Low</v>
      </c>
      <c r="O29">
        <f t="shared" si="4"/>
        <v>0.25</v>
      </c>
    </row>
    <row r="30" spans="1:15" x14ac:dyDescent="0.3">
      <c r="A30">
        <v>10029</v>
      </c>
      <c r="B30" s="1">
        <v>45320</v>
      </c>
      <c r="C30" t="s">
        <v>23</v>
      </c>
      <c r="D30" t="s">
        <v>49</v>
      </c>
      <c r="E30" t="s">
        <v>15</v>
      </c>
      <c r="F30" t="s">
        <v>16</v>
      </c>
      <c r="G30">
        <v>1</v>
      </c>
      <c r="H30">
        <v>29.99</v>
      </c>
      <c r="I30">
        <v>29.99</v>
      </c>
      <c r="J30">
        <f t="shared" si="0"/>
        <v>7.4974999999999996</v>
      </c>
      <c r="L30" t="str">
        <f t="shared" si="1"/>
        <v>Jan</v>
      </c>
      <c r="M30">
        <f t="shared" si="2"/>
        <v>2024</v>
      </c>
      <c r="N30" t="str">
        <f t="shared" si="3"/>
        <v>Low</v>
      </c>
      <c r="O30">
        <f t="shared" si="4"/>
        <v>0.25</v>
      </c>
    </row>
    <row r="31" spans="1:15" x14ac:dyDescent="0.3">
      <c r="A31">
        <v>10030</v>
      </c>
      <c r="B31" s="1">
        <v>45321</v>
      </c>
      <c r="C31" t="s">
        <v>25</v>
      </c>
      <c r="D31" t="s">
        <v>50</v>
      </c>
      <c r="E31" t="s">
        <v>19</v>
      </c>
      <c r="F31" t="s">
        <v>12</v>
      </c>
      <c r="G31">
        <v>2</v>
      </c>
      <c r="H31">
        <v>129.99</v>
      </c>
      <c r="I31">
        <v>259.98</v>
      </c>
      <c r="J31">
        <f t="shared" si="0"/>
        <v>64.995000000000005</v>
      </c>
      <c r="L31" t="str">
        <f t="shared" si="1"/>
        <v>Jan</v>
      </c>
      <c r="M31">
        <f t="shared" si="2"/>
        <v>2024</v>
      </c>
      <c r="N31" t="str">
        <f t="shared" si="3"/>
        <v>Medium</v>
      </c>
      <c r="O31">
        <f t="shared" si="4"/>
        <v>0.25</v>
      </c>
    </row>
    <row r="32" spans="1:15" x14ac:dyDescent="0.3">
      <c r="A32">
        <v>10031</v>
      </c>
      <c r="B32" s="1">
        <v>45322</v>
      </c>
      <c r="C32" t="s">
        <v>9</v>
      </c>
      <c r="D32" t="s">
        <v>51</v>
      </c>
      <c r="E32" t="s">
        <v>11</v>
      </c>
      <c r="F32" t="s">
        <v>12</v>
      </c>
      <c r="G32">
        <v>2</v>
      </c>
      <c r="H32">
        <v>349.99</v>
      </c>
      <c r="I32">
        <v>699.98</v>
      </c>
      <c r="J32">
        <f t="shared" si="0"/>
        <v>174.995</v>
      </c>
      <c r="L32" t="str">
        <f t="shared" si="1"/>
        <v>Jan</v>
      </c>
      <c r="M32">
        <f t="shared" si="2"/>
        <v>2024</v>
      </c>
      <c r="N32" t="str">
        <f t="shared" si="3"/>
        <v>High</v>
      </c>
      <c r="O32">
        <f t="shared" si="4"/>
        <v>0.25</v>
      </c>
    </row>
    <row r="33" spans="1:15" x14ac:dyDescent="0.3">
      <c r="A33">
        <v>10032</v>
      </c>
      <c r="B33" s="1">
        <v>45323</v>
      </c>
      <c r="C33" t="s">
        <v>13</v>
      </c>
      <c r="D33" t="s">
        <v>52</v>
      </c>
      <c r="E33" t="s">
        <v>15</v>
      </c>
      <c r="F33" t="s">
        <v>16</v>
      </c>
      <c r="G33">
        <v>3</v>
      </c>
      <c r="H33">
        <v>89.99</v>
      </c>
      <c r="I33">
        <v>269.97000000000003</v>
      </c>
      <c r="J33">
        <f t="shared" si="0"/>
        <v>67.492500000000007</v>
      </c>
      <c r="L33" t="str">
        <f t="shared" si="1"/>
        <v>Feb</v>
      </c>
      <c r="M33">
        <f t="shared" si="2"/>
        <v>2024</v>
      </c>
      <c r="N33" t="str">
        <f t="shared" si="3"/>
        <v>Medium</v>
      </c>
      <c r="O33">
        <f t="shared" si="4"/>
        <v>0.25</v>
      </c>
    </row>
    <row r="34" spans="1:15" x14ac:dyDescent="0.3">
      <c r="A34">
        <v>10033</v>
      </c>
      <c r="B34" s="1">
        <v>45324</v>
      </c>
      <c r="C34" t="s">
        <v>17</v>
      </c>
      <c r="D34" t="s">
        <v>53</v>
      </c>
      <c r="E34" t="s">
        <v>19</v>
      </c>
      <c r="F34" t="s">
        <v>20</v>
      </c>
      <c r="G34">
        <v>5</v>
      </c>
      <c r="H34">
        <v>29.99</v>
      </c>
      <c r="I34">
        <v>149.94999999999999</v>
      </c>
      <c r="J34">
        <f t="shared" si="0"/>
        <v>37.487499999999997</v>
      </c>
      <c r="L34" t="str">
        <f t="shared" si="1"/>
        <v>Feb</v>
      </c>
      <c r="M34">
        <f t="shared" si="2"/>
        <v>2024</v>
      </c>
      <c r="N34" t="str">
        <f t="shared" si="3"/>
        <v>Medium</v>
      </c>
      <c r="O34">
        <f t="shared" si="4"/>
        <v>0.25</v>
      </c>
    </row>
    <row r="35" spans="1:15" x14ac:dyDescent="0.3">
      <c r="A35">
        <v>10034</v>
      </c>
      <c r="B35" s="1">
        <v>45325</v>
      </c>
      <c r="C35" t="s">
        <v>21</v>
      </c>
      <c r="D35" t="s">
        <v>54</v>
      </c>
      <c r="E35" t="s">
        <v>11</v>
      </c>
      <c r="F35" t="s">
        <v>12</v>
      </c>
      <c r="G35">
        <v>4</v>
      </c>
      <c r="H35">
        <v>19.989999999999998</v>
      </c>
      <c r="I35">
        <v>79.959999999999994</v>
      </c>
      <c r="J35">
        <f t="shared" si="0"/>
        <v>19.989999999999998</v>
      </c>
      <c r="L35" t="str">
        <f t="shared" si="1"/>
        <v>Feb</v>
      </c>
      <c r="M35">
        <f t="shared" si="2"/>
        <v>2024</v>
      </c>
      <c r="N35" t="str">
        <f t="shared" si="3"/>
        <v>Low</v>
      </c>
      <c r="O35">
        <f t="shared" si="4"/>
        <v>0.25</v>
      </c>
    </row>
    <row r="36" spans="1:15" x14ac:dyDescent="0.3">
      <c r="A36">
        <v>10035</v>
      </c>
      <c r="B36" s="1">
        <v>45326</v>
      </c>
      <c r="C36" t="s">
        <v>23</v>
      </c>
      <c r="D36" t="s">
        <v>55</v>
      </c>
      <c r="E36" t="s">
        <v>15</v>
      </c>
      <c r="F36" t="s">
        <v>16</v>
      </c>
      <c r="G36">
        <v>2</v>
      </c>
      <c r="H36">
        <v>39.99</v>
      </c>
      <c r="I36">
        <v>79.98</v>
      </c>
      <c r="J36">
        <f t="shared" si="0"/>
        <v>19.995000000000001</v>
      </c>
      <c r="L36" t="str">
        <f t="shared" si="1"/>
        <v>Feb</v>
      </c>
      <c r="M36">
        <f t="shared" si="2"/>
        <v>2024</v>
      </c>
      <c r="N36" t="str">
        <f t="shared" si="3"/>
        <v>Low</v>
      </c>
      <c r="O36">
        <f t="shared" si="4"/>
        <v>0.25</v>
      </c>
    </row>
    <row r="37" spans="1:15" x14ac:dyDescent="0.3">
      <c r="A37">
        <v>10036</v>
      </c>
      <c r="B37" s="1">
        <v>45327</v>
      </c>
      <c r="C37" t="s">
        <v>25</v>
      </c>
      <c r="D37" t="s">
        <v>56</v>
      </c>
      <c r="E37" t="s">
        <v>19</v>
      </c>
      <c r="F37" t="s">
        <v>12</v>
      </c>
      <c r="G37">
        <v>1</v>
      </c>
      <c r="H37">
        <v>1895</v>
      </c>
      <c r="I37">
        <v>1895</v>
      </c>
      <c r="J37">
        <f t="shared" si="0"/>
        <v>473.75</v>
      </c>
      <c r="L37" t="str">
        <f t="shared" si="1"/>
        <v>Feb</v>
      </c>
      <c r="M37">
        <f t="shared" si="2"/>
        <v>2024</v>
      </c>
      <c r="N37" t="str">
        <f t="shared" si="3"/>
        <v>High</v>
      </c>
      <c r="O37">
        <f t="shared" si="4"/>
        <v>0.25</v>
      </c>
    </row>
    <row r="38" spans="1:15" x14ac:dyDescent="0.3">
      <c r="A38">
        <v>10037</v>
      </c>
      <c r="B38" s="1">
        <v>45328</v>
      </c>
      <c r="C38" t="s">
        <v>9</v>
      </c>
      <c r="D38" t="s">
        <v>57</v>
      </c>
      <c r="E38" t="s">
        <v>11</v>
      </c>
      <c r="F38" t="s">
        <v>12</v>
      </c>
      <c r="G38">
        <v>3</v>
      </c>
      <c r="H38">
        <v>399.99</v>
      </c>
      <c r="I38">
        <v>1199.97</v>
      </c>
      <c r="J38">
        <f t="shared" si="0"/>
        <v>299.99250000000001</v>
      </c>
      <c r="L38" t="str">
        <f t="shared" si="1"/>
        <v>Feb</v>
      </c>
      <c r="M38">
        <f t="shared" si="2"/>
        <v>2024</v>
      </c>
      <c r="N38" t="str">
        <f t="shared" si="3"/>
        <v>High</v>
      </c>
      <c r="O38">
        <f t="shared" si="4"/>
        <v>0.25</v>
      </c>
    </row>
    <row r="39" spans="1:15" x14ac:dyDescent="0.3">
      <c r="A39">
        <v>10038</v>
      </c>
      <c r="B39" s="1">
        <v>45329</v>
      </c>
      <c r="C39" t="s">
        <v>13</v>
      </c>
      <c r="D39" t="s">
        <v>58</v>
      </c>
      <c r="E39" t="s">
        <v>15</v>
      </c>
      <c r="F39" t="s">
        <v>16</v>
      </c>
      <c r="G39">
        <v>2</v>
      </c>
      <c r="H39">
        <v>799.99</v>
      </c>
      <c r="I39">
        <v>1599.98</v>
      </c>
      <c r="J39">
        <f t="shared" si="0"/>
        <v>399.995</v>
      </c>
      <c r="L39" t="str">
        <f t="shared" si="1"/>
        <v>Feb</v>
      </c>
      <c r="M39">
        <f t="shared" si="2"/>
        <v>2024</v>
      </c>
      <c r="N39" t="str">
        <f t="shared" si="3"/>
        <v>High</v>
      </c>
      <c r="O39">
        <f t="shared" si="4"/>
        <v>0.25</v>
      </c>
    </row>
    <row r="40" spans="1:15" x14ac:dyDescent="0.3">
      <c r="A40">
        <v>10039</v>
      </c>
      <c r="B40" s="1">
        <v>45330</v>
      </c>
      <c r="C40" t="s">
        <v>17</v>
      </c>
      <c r="D40" t="s">
        <v>59</v>
      </c>
      <c r="E40" t="s">
        <v>19</v>
      </c>
      <c r="F40" t="s">
        <v>20</v>
      </c>
      <c r="G40">
        <v>4</v>
      </c>
      <c r="H40">
        <v>59.99</v>
      </c>
      <c r="I40">
        <v>239.96</v>
      </c>
      <c r="J40">
        <f t="shared" si="0"/>
        <v>59.99</v>
      </c>
      <c r="L40" t="str">
        <f t="shared" si="1"/>
        <v>Feb</v>
      </c>
      <c r="M40">
        <f t="shared" si="2"/>
        <v>2024</v>
      </c>
      <c r="N40" t="str">
        <f t="shared" si="3"/>
        <v>Medium</v>
      </c>
      <c r="O40">
        <f t="shared" si="4"/>
        <v>0.25</v>
      </c>
    </row>
    <row r="41" spans="1:15" x14ac:dyDescent="0.3">
      <c r="A41">
        <v>10040</v>
      </c>
      <c r="B41" s="1">
        <v>45331</v>
      </c>
      <c r="C41" t="s">
        <v>21</v>
      </c>
      <c r="D41" t="s">
        <v>60</v>
      </c>
      <c r="E41" t="s">
        <v>11</v>
      </c>
      <c r="F41" t="s">
        <v>12</v>
      </c>
      <c r="G41">
        <v>3</v>
      </c>
      <c r="H41">
        <v>24.99</v>
      </c>
      <c r="I41">
        <v>74.97</v>
      </c>
      <c r="J41">
        <f t="shared" si="0"/>
        <v>18.7425</v>
      </c>
      <c r="L41" t="str">
        <f t="shared" si="1"/>
        <v>Feb</v>
      </c>
      <c r="M41">
        <f t="shared" si="2"/>
        <v>2024</v>
      </c>
      <c r="N41" t="str">
        <f t="shared" si="3"/>
        <v>Low</v>
      </c>
      <c r="O41">
        <f t="shared" si="4"/>
        <v>0.25</v>
      </c>
    </row>
    <row r="42" spans="1:15" x14ac:dyDescent="0.3">
      <c r="A42">
        <v>10041</v>
      </c>
      <c r="B42" s="1">
        <v>45332</v>
      </c>
      <c r="C42" t="s">
        <v>23</v>
      </c>
      <c r="D42" t="s">
        <v>61</v>
      </c>
      <c r="E42" t="s">
        <v>15</v>
      </c>
      <c r="F42" t="s">
        <v>16</v>
      </c>
      <c r="G42">
        <v>1</v>
      </c>
      <c r="H42">
        <v>105</v>
      </c>
      <c r="I42">
        <v>105</v>
      </c>
      <c r="J42">
        <f t="shared" si="0"/>
        <v>26.25</v>
      </c>
      <c r="L42" t="str">
        <f t="shared" si="1"/>
        <v>Feb</v>
      </c>
      <c r="M42">
        <f t="shared" si="2"/>
        <v>2024</v>
      </c>
      <c r="N42" t="str">
        <f t="shared" si="3"/>
        <v>Medium</v>
      </c>
      <c r="O42">
        <f t="shared" si="4"/>
        <v>0.25</v>
      </c>
    </row>
    <row r="43" spans="1:15" x14ac:dyDescent="0.3">
      <c r="A43">
        <v>10042</v>
      </c>
      <c r="B43" s="1">
        <v>45333</v>
      </c>
      <c r="C43" t="s">
        <v>25</v>
      </c>
      <c r="D43" t="s">
        <v>62</v>
      </c>
      <c r="E43" t="s">
        <v>19</v>
      </c>
      <c r="F43" t="s">
        <v>12</v>
      </c>
      <c r="G43">
        <v>2</v>
      </c>
      <c r="H43">
        <v>129.99</v>
      </c>
      <c r="I43">
        <v>259.98</v>
      </c>
      <c r="J43">
        <f t="shared" si="0"/>
        <v>64.995000000000005</v>
      </c>
      <c r="L43" t="str">
        <f t="shared" si="1"/>
        <v>Feb</v>
      </c>
      <c r="M43">
        <f t="shared" si="2"/>
        <v>2024</v>
      </c>
      <c r="N43" t="str">
        <f t="shared" si="3"/>
        <v>Medium</v>
      </c>
      <c r="O43">
        <f t="shared" si="4"/>
        <v>0.25</v>
      </c>
    </row>
    <row r="44" spans="1:15" x14ac:dyDescent="0.3">
      <c r="A44">
        <v>10043</v>
      </c>
      <c r="B44" s="1">
        <v>45334</v>
      </c>
      <c r="C44" t="s">
        <v>9</v>
      </c>
      <c r="D44" t="s">
        <v>63</v>
      </c>
      <c r="E44" t="s">
        <v>11</v>
      </c>
      <c r="F44" t="s">
        <v>12</v>
      </c>
      <c r="G44">
        <v>3</v>
      </c>
      <c r="H44">
        <v>399.99</v>
      </c>
      <c r="I44">
        <v>1199.97</v>
      </c>
      <c r="J44">
        <f t="shared" si="0"/>
        <v>299.99250000000001</v>
      </c>
      <c r="L44" t="str">
        <f t="shared" si="1"/>
        <v>Feb</v>
      </c>
      <c r="M44">
        <f t="shared" si="2"/>
        <v>2024</v>
      </c>
      <c r="N44" t="str">
        <f t="shared" si="3"/>
        <v>High</v>
      </c>
      <c r="O44">
        <f t="shared" si="4"/>
        <v>0.25</v>
      </c>
    </row>
    <row r="45" spans="1:15" x14ac:dyDescent="0.3">
      <c r="A45">
        <v>10044</v>
      </c>
      <c r="B45" s="1">
        <v>45335</v>
      </c>
      <c r="C45" t="s">
        <v>13</v>
      </c>
      <c r="D45" t="s">
        <v>64</v>
      </c>
      <c r="E45" t="s">
        <v>15</v>
      </c>
      <c r="F45" t="s">
        <v>16</v>
      </c>
      <c r="G45">
        <v>1</v>
      </c>
      <c r="H45">
        <v>199.99</v>
      </c>
      <c r="I45">
        <v>199.99</v>
      </c>
      <c r="J45">
        <f t="shared" si="0"/>
        <v>49.997500000000002</v>
      </c>
      <c r="L45" t="str">
        <f t="shared" si="1"/>
        <v>Feb</v>
      </c>
      <c r="M45">
        <f t="shared" si="2"/>
        <v>2024</v>
      </c>
      <c r="N45" t="str">
        <f t="shared" si="3"/>
        <v>Medium</v>
      </c>
      <c r="O45">
        <f t="shared" si="4"/>
        <v>0.25</v>
      </c>
    </row>
    <row r="46" spans="1:15" x14ac:dyDescent="0.3">
      <c r="A46">
        <v>10045</v>
      </c>
      <c r="B46" s="1">
        <v>45336</v>
      </c>
      <c r="C46" t="s">
        <v>17</v>
      </c>
      <c r="D46" t="s">
        <v>65</v>
      </c>
      <c r="E46" t="s">
        <v>19</v>
      </c>
      <c r="F46" t="s">
        <v>20</v>
      </c>
      <c r="G46">
        <v>2</v>
      </c>
      <c r="H46">
        <v>139.99</v>
      </c>
      <c r="I46">
        <v>279.98</v>
      </c>
      <c r="J46">
        <f t="shared" si="0"/>
        <v>69.995000000000005</v>
      </c>
      <c r="L46" t="str">
        <f t="shared" si="1"/>
        <v>Feb</v>
      </c>
      <c r="M46">
        <f t="shared" si="2"/>
        <v>2024</v>
      </c>
      <c r="N46" t="str">
        <f t="shared" si="3"/>
        <v>Medium</v>
      </c>
      <c r="O46">
        <f t="shared" si="4"/>
        <v>0.25</v>
      </c>
    </row>
    <row r="47" spans="1:15" x14ac:dyDescent="0.3">
      <c r="A47">
        <v>10046</v>
      </c>
      <c r="B47" s="1">
        <v>45337</v>
      </c>
      <c r="C47" t="s">
        <v>21</v>
      </c>
      <c r="D47" t="s">
        <v>66</v>
      </c>
      <c r="E47" t="s">
        <v>11</v>
      </c>
      <c r="F47" t="s">
        <v>12</v>
      </c>
      <c r="G47">
        <v>4</v>
      </c>
      <c r="H47">
        <v>32.5</v>
      </c>
      <c r="I47">
        <v>130</v>
      </c>
      <c r="J47">
        <f t="shared" si="0"/>
        <v>32.5</v>
      </c>
      <c r="L47" t="str">
        <f t="shared" si="1"/>
        <v>Feb</v>
      </c>
      <c r="M47">
        <f t="shared" si="2"/>
        <v>2024</v>
      </c>
      <c r="N47" t="str">
        <f t="shared" si="3"/>
        <v>Medium</v>
      </c>
      <c r="O47">
        <f t="shared" si="4"/>
        <v>0.25</v>
      </c>
    </row>
    <row r="48" spans="1:15" x14ac:dyDescent="0.3">
      <c r="A48">
        <v>10047</v>
      </c>
      <c r="B48" s="1">
        <v>45338</v>
      </c>
      <c r="C48" t="s">
        <v>23</v>
      </c>
      <c r="D48" t="s">
        <v>67</v>
      </c>
      <c r="E48" t="s">
        <v>15</v>
      </c>
      <c r="F48" t="s">
        <v>16</v>
      </c>
      <c r="G48">
        <v>1</v>
      </c>
      <c r="H48">
        <v>52</v>
      </c>
      <c r="I48">
        <v>52</v>
      </c>
      <c r="J48">
        <f t="shared" si="0"/>
        <v>13</v>
      </c>
      <c r="L48" t="str">
        <f t="shared" si="1"/>
        <v>Feb</v>
      </c>
      <c r="M48">
        <f t="shared" si="2"/>
        <v>2024</v>
      </c>
      <c r="N48" t="str">
        <f t="shared" si="3"/>
        <v>Low</v>
      </c>
      <c r="O48">
        <f t="shared" si="4"/>
        <v>0.25</v>
      </c>
    </row>
    <row r="49" spans="1:15" x14ac:dyDescent="0.3">
      <c r="A49">
        <v>10048</v>
      </c>
      <c r="B49" s="1">
        <v>45339</v>
      </c>
      <c r="C49" t="s">
        <v>25</v>
      </c>
      <c r="D49" t="s">
        <v>68</v>
      </c>
      <c r="E49" t="s">
        <v>19</v>
      </c>
      <c r="F49" t="s">
        <v>12</v>
      </c>
      <c r="G49">
        <v>6</v>
      </c>
      <c r="H49">
        <v>39.99</v>
      </c>
      <c r="I49">
        <v>239.94</v>
      </c>
      <c r="J49">
        <f t="shared" si="0"/>
        <v>59.984999999999999</v>
      </c>
      <c r="L49" t="str">
        <f t="shared" si="1"/>
        <v>Feb</v>
      </c>
      <c r="M49">
        <f t="shared" si="2"/>
        <v>2024</v>
      </c>
      <c r="N49" t="str">
        <f t="shared" si="3"/>
        <v>Medium</v>
      </c>
      <c r="O49">
        <f t="shared" si="4"/>
        <v>0.25</v>
      </c>
    </row>
    <row r="50" spans="1:15" x14ac:dyDescent="0.3">
      <c r="A50">
        <v>10049</v>
      </c>
      <c r="B50" s="1">
        <v>45340</v>
      </c>
      <c r="C50" t="s">
        <v>9</v>
      </c>
      <c r="D50" t="s">
        <v>69</v>
      </c>
      <c r="E50" t="s">
        <v>11</v>
      </c>
      <c r="F50" t="s">
        <v>12</v>
      </c>
      <c r="G50">
        <v>2</v>
      </c>
      <c r="H50">
        <v>129.99</v>
      </c>
      <c r="I50">
        <v>259.98</v>
      </c>
      <c r="J50">
        <f t="shared" si="0"/>
        <v>64.995000000000005</v>
      </c>
      <c r="L50" t="str">
        <f t="shared" si="1"/>
        <v>Feb</v>
      </c>
      <c r="M50">
        <f t="shared" si="2"/>
        <v>2024</v>
      </c>
      <c r="N50" t="str">
        <f t="shared" si="3"/>
        <v>Medium</v>
      </c>
      <c r="O50">
        <f t="shared" si="4"/>
        <v>0.25</v>
      </c>
    </row>
    <row r="51" spans="1:15" x14ac:dyDescent="0.3">
      <c r="A51">
        <v>10050</v>
      </c>
      <c r="B51" s="1">
        <v>45341</v>
      </c>
      <c r="C51" t="s">
        <v>13</v>
      </c>
      <c r="D51" t="s">
        <v>70</v>
      </c>
      <c r="E51" t="s">
        <v>15</v>
      </c>
      <c r="F51" t="s">
        <v>16</v>
      </c>
      <c r="G51">
        <v>1</v>
      </c>
      <c r="H51">
        <v>299.99</v>
      </c>
      <c r="I51">
        <v>299.99</v>
      </c>
      <c r="J51">
        <f t="shared" si="0"/>
        <v>74.997500000000002</v>
      </c>
      <c r="L51" t="str">
        <f t="shared" si="1"/>
        <v>Feb</v>
      </c>
      <c r="M51">
        <f t="shared" si="2"/>
        <v>2024</v>
      </c>
      <c r="N51" t="str">
        <f t="shared" si="3"/>
        <v>Medium</v>
      </c>
      <c r="O51">
        <f t="shared" si="4"/>
        <v>0.25</v>
      </c>
    </row>
    <row r="52" spans="1:15" x14ac:dyDescent="0.3">
      <c r="A52">
        <v>10051</v>
      </c>
      <c r="B52" s="1">
        <v>45342</v>
      </c>
      <c r="C52" t="s">
        <v>17</v>
      </c>
      <c r="D52" t="s">
        <v>71</v>
      </c>
      <c r="E52" t="s">
        <v>19</v>
      </c>
      <c r="F52" t="s">
        <v>20</v>
      </c>
      <c r="G52">
        <v>3</v>
      </c>
      <c r="H52">
        <v>154.99</v>
      </c>
      <c r="I52">
        <v>464.97</v>
      </c>
      <c r="J52">
        <f t="shared" si="0"/>
        <v>116.24250000000001</v>
      </c>
      <c r="L52" t="str">
        <f t="shared" si="1"/>
        <v>Feb</v>
      </c>
      <c r="M52">
        <f t="shared" si="2"/>
        <v>2024</v>
      </c>
      <c r="N52" t="str">
        <f t="shared" si="3"/>
        <v>Medium</v>
      </c>
      <c r="O52">
        <f t="shared" si="4"/>
        <v>0.25</v>
      </c>
    </row>
    <row r="53" spans="1:15" x14ac:dyDescent="0.3">
      <c r="A53">
        <v>10052</v>
      </c>
      <c r="B53" s="1">
        <v>45343</v>
      </c>
      <c r="C53" t="s">
        <v>21</v>
      </c>
      <c r="D53" t="s">
        <v>72</v>
      </c>
      <c r="E53" t="s">
        <v>11</v>
      </c>
      <c r="F53" t="s">
        <v>12</v>
      </c>
      <c r="G53">
        <v>2</v>
      </c>
      <c r="H53">
        <v>26.99</v>
      </c>
      <c r="I53">
        <v>53.98</v>
      </c>
      <c r="J53">
        <f t="shared" si="0"/>
        <v>13.494999999999999</v>
      </c>
      <c r="L53" t="str">
        <f t="shared" si="1"/>
        <v>Feb</v>
      </c>
      <c r="M53">
        <f t="shared" si="2"/>
        <v>2024</v>
      </c>
      <c r="N53" t="str">
        <f t="shared" si="3"/>
        <v>Low</v>
      </c>
      <c r="O53">
        <f t="shared" si="4"/>
        <v>0.25</v>
      </c>
    </row>
    <row r="54" spans="1:15" x14ac:dyDescent="0.3">
      <c r="A54">
        <v>10053</v>
      </c>
      <c r="B54" s="1">
        <v>45344</v>
      </c>
      <c r="C54" t="s">
        <v>23</v>
      </c>
      <c r="D54" t="s">
        <v>73</v>
      </c>
      <c r="E54" t="s">
        <v>15</v>
      </c>
      <c r="F54" t="s">
        <v>16</v>
      </c>
      <c r="G54">
        <v>1</v>
      </c>
      <c r="H54">
        <v>49</v>
      </c>
      <c r="I54">
        <v>49</v>
      </c>
      <c r="J54">
        <f t="shared" si="0"/>
        <v>12.25</v>
      </c>
      <c r="L54" t="str">
        <f t="shared" si="1"/>
        <v>Feb</v>
      </c>
      <c r="M54">
        <f t="shared" si="2"/>
        <v>2024</v>
      </c>
      <c r="N54" t="str">
        <f t="shared" si="3"/>
        <v>Low</v>
      </c>
      <c r="O54">
        <f t="shared" si="4"/>
        <v>0.25</v>
      </c>
    </row>
    <row r="55" spans="1:15" x14ac:dyDescent="0.3">
      <c r="A55">
        <v>10054</v>
      </c>
      <c r="B55" s="1">
        <v>45345</v>
      </c>
      <c r="C55" t="s">
        <v>25</v>
      </c>
      <c r="D55" t="s">
        <v>74</v>
      </c>
      <c r="E55" t="s">
        <v>19</v>
      </c>
      <c r="F55" t="s">
        <v>12</v>
      </c>
      <c r="G55">
        <v>5</v>
      </c>
      <c r="H55">
        <v>49.99</v>
      </c>
      <c r="I55">
        <v>249.95</v>
      </c>
      <c r="J55">
        <f t="shared" si="0"/>
        <v>62.487499999999997</v>
      </c>
      <c r="L55" t="str">
        <f t="shared" si="1"/>
        <v>Feb</v>
      </c>
      <c r="M55">
        <f t="shared" si="2"/>
        <v>2024</v>
      </c>
      <c r="N55" t="str">
        <f t="shared" si="3"/>
        <v>Medium</v>
      </c>
      <c r="O55">
        <f t="shared" si="4"/>
        <v>0.25</v>
      </c>
    </row>
    <row r="56" spans="1:15" x14ac:dyDescent="0.3">
      <c r="A56">
        <v>10055</v>
      </c>
      <c r="B56" s="1">
        <v>45346</v>
      </c>
      <c r="C56" t="s">
        <v>9</v>
      </c>
      <c r="D56" t="s">
        <v>75</v>
      </c>
      <c r="E56" t="s">
        <v>11</v>
      </c>
      <c r="F56" t="s">
        <v>12</v>
      </c>
      <c r="G56">
        <v>4</v>
      </c>
      <c r="H56">
        <v>59.99</v>
      </c>
      <c r="I56">
        <v>239.96</v>
      </c>
      <c r="J56">
        <f t="shared" si="0"/>
        <v>59.99</v>
      </c>
      <c r="L56" t="str">
        <f t="shared" si="1"/>
        <v>Feb</v>
      </c>
      <c r="M56">
        <f t="shared" si="2"/>
        <v>2024</v>
      </c>
      <c r="N56" t="str">
        <f t="shared" si="3"/>
        <v>Medium</v>
      </c>
      <c r="O56">
        <f t="shared" si="4"/>
        <v>0.25</v>
      </c>
    </row>
    <row r="57" spans="1:15" x14ac:dyDescent="0.3">
      <c r="A57">
        <v>10056</v>
      </c>
      <c r="B57" s="1">
        <v>45347</v>
      </c>
      <c r="C57" t="s">
        <v>13</v>
      </c>
      <c r="D57" t="s">
        <v>76</v>
      </c>
      <c r="E57" t="s">
        <v>15</v>
      </c>
      <c r="F57" t="s">
        <v>16</v>
      </c>
      <c r="G57">
        <v>1</v>
      </c>
      <c r="H57">
        <v>499.99</v>
      </c>
      <c r="I57">
        <v>499.99</v>
      </c>
      <c r="J57">
        <f t="shared" si="0"/>
        <v>124.9975</v>
      </c>
      <c r="L57" t="str">
        <f t="shared" si="1"/>
        <v>Feb</v>
      </c>
      <c r="M57">
        <f t="shared" si="2"/>
        <v>2024</v>
      </c>
      <c r="N57" t="str">
        <f t="shared" si="3"/>
        <v>Medium</v>
      </c>
      <c r="O57">
        <f t="shared" si="4"/>
        <v>0.25</v>
      </c>
    </row>
    <row r="58" spans="1:15" x14ac:dyDescent="0.3">
      <c r="A58">
        <v>10057</v>
      </c>
      <c r="B58" s="1">
        <v>45348</v>
      </c>
      <c r="C58" t="s">
        <v>17</v>
      </c>
      <c r="D58" t="s">
        <v>77</v>
      </c>
      <c r="E58" t="s">
        <v>19</v>
      </c>
      <c r="F58" t="s">
        <v>20</v>
      </c>
      <c r="G58">
        <v>5</v>
      </c>
      <c r="H58">
        <v>29.99</v>
      </c>
      <c r="I58">
        <v>149.94999999999999</v>
      </c>
      <c r="J58">
        <f t="shared" si="0"/>
        <v>37.487499999999997</v>
      </c>
      <c r="L58" t="str">
        <f t="shared" si="1"/>
        <v>Feb</v>
      </c>
      <c r="M58">
        <f t="shared" si="2"/>
        <v>2024</v>
      </c>
      <c r="N58" t="str">
        <f t="shared" si="3"/>
        <v>Medium</v>
      </c>
      <c r="O58">
        <f t="shared" si="4"/>
        <v>0.25</v>
      </c>
    </row>
    <row r="59" spans="1:15" x14ac:dyDescent="0.3">
      <c r="A59">
        <v>10058</v>
      </c>
      <c r="B59" s="1">
        <v>45349</v>
      </c>
      <c r="C59" t="s">
        <v>21</v>
      </c>
      <c r="D59" t="s">
        <v>78</v>
      </c>
      <c r="E59" t="s">
        <v>11</v>
      </c>
      <c r="F59" t="s">
        <v>12</v>
      </c>
      <c r="G59">
        <v>3</v>
      </c>
      <c r="H59">
        <v>28</v>
      </c>
      <c r="I59">
        <v>84</v>
      </c>
      <c r="J59">
        <f t="shared" si="0"/>
        <v>21</v>
      </c>
      <c r="L59" t="str">
        <f t="shared" si="1"/>
        <v>Feb</v>
      </c>
      <c r="M59">
        <f t="shared" si="2"/>
        <v>2024</v>
      </c>
      <c r="N59" t="str">
        <f t="shared" si="3"/>
        <v>Low</v>
      </c>
      <c r="O59">
        <f t="shared" si="4"/>
        <v>0.25</v>
      </c>
    </row>
    <row r="60" spans="1:15" x14ac:dyDescent="0.3">
      <c r="A60">
        <v>10059</v>
      </c>
      <c r="B60" s="1">
        <v>45350</v>
      </c>
      <c r="C60" t="s">
        <v>23</v>
      </c>
      <c r="D60" t="s">
        <v>79</v>
      </c>
      <c r="E60" t="s">
        <v>15</v>
      </c>
      <c r="F60" t="s">
        <v>16</v>
      </c>
      <c r="G60">
        <v>2</v>
      </c>
      <c r="H60">
        <v>23</v>
      </c>
      <c r="I60">
        <v>46</v>
      </c>
      <c r="J60">
        <f t="shared" si="0"/>
        <v>11.5</v>
      </c>
      <c r="L60" t="str">
        <f t="shared" si="1"/>
        <v>Feb</v>
      </c>
      <c r="M60">
        <f t="shared" si="2"/>
        <v>2024</v>
      </c>
      <c r="N60" t="str">
        <f t="shared" si="3"/>
        <v>Low</v>
      </c>
      <c r="O60">
        <f t="shared" si="4"/>
        <v>0.25</v>
      </c>
    </row>
    <row r="61" spans="1:15" x14ac:dyDescent="0.3">
      <c r="A61">
        <v>10060</v>
      </c>
      <c r="B61" s="1">
        <v>45351</v>
      </c>
      <c r="C61" t="s">
        <v>25</v>
      </c>
      <c r="D61" t="s">
        <v>80</v>
      </c>
      <c r="E61" t="s">
        <v>19</v>
      </c>
      <c r="F61" t="s">
        <v>12</v>
      </c>
      <c r="G61">
        <v>1</v>
      </c>
      <c r="H61">
        <v>349</v>
      </c>
      <c r="I61">
        <v>349</v>
      </c>
      <c r="J61">
        <f t="shared" si="0"/>
        <v>87.25</v>
      </c>
      <c r="L61" t="str">
        <f t="shared" si="1"/>
        <v>Feb</v>
      </c>
      <c r="M61">
        <f t="shared" si="2"/>
        <v>2024</v>
      </c>
      <c r="N61" t="str">
        <f t="shared" si="3"/>
        <v>Medium</v>
      </c>
      <c r="O61">
        <f t="shared" si="4"/>
        <v>0.25</v>
      </c>
    </row>
    <row r="62" spans="1:15" x14ac:dyDescent="0.3">
      <c r="A62">
        <v>10061</v>
      </c>
      <c r="B62" s="1">
        <v>45352</v>
      </c>
      <c r="C62" t="s">
        <v>9</v>
      </c>
      <c r="D62" t="s">
        <v>81</v>
      </c>
      <c r="E62" t="s">
        <v>11</v>
      </c>
      <c r="F62" t="s">
        <v>12</v>
      </c>
      <c r="G62">
        <v>3</v>
      </c>
      <c r="H62">
        <v>299.99</v>
      </c>
      <c r="I62">
        <v>899.97</v>
      </c>
      <c r="J62">
        <f t="shared" si="0"/>
        <v>224.99250000000001</v>
      </c>
      <c r="L62" t="str">
        <f t="shared" si="1"/>
        <v>Mar</v>
      </c>
      <c r="M62">
        <f t="shared" si="2"/>
        <v>2024</v>
      </c>
      <c r="N62" t="str">
        <f t="shared" si="3"/>
        <v>High</v>
      </c>
      <c r="O62">
        <f t="shared" si="4"/>
        <v>0.25</v>
      </c>
    </row>
    <row r="63" spans="1:15" x14ac:dyDescent="0.3">
      <c r="A63">
        <v>10062</v>
      </c>
      <c r="B63" s="1">
        <v>45353</v>
      </c>
      <c r="C63" t="s">
        <v>13</v>
      </c>
      <c r="D63" t="s">
        <v>82</v>
      </c>
      <c r="E63" t="s">
        <v>15</v>
      </c>
      <c r="F63" t="s">
        <v>16</v>
      </c>
      <c r="G63">
        <v>2</v>
      </c>
      <c r="H63">
        <v>199.99</v>
      </c>
      <c r="I63">
        <v>399.98</v>
      </c>
      <c r="J63">
        <f t="shared" si="0"/>
        <v>99.995000000000005</v>
      </c>
      <c r="L63" t="str">
        <f t="shared" si="1"/>
        <v>Mar</v>
      </c>
      <c r="M63">
        <f t="shared" si="2"/>
        <v>2024</v>
      </c>
      <c r="N63" t="str">
        <f t="shared" si="3"/>
        <v>Medium</v>
      </c>
      <c r="O63">
        <f t="shared" si="4"/>
        <v>0.25</v>
      </c>
    </row>
    <row r="64" spans="1:15" x14ac:dyDescent="0.3">
      <c r="A64">
        <v>10063</v>
      </c>
      <c r="B64" s="1">
        <v>45354</v>
      </c>
      <c r="C64" t="s">
        <v>17</v>
      </c>
      <c r="D64" t="s">
        <v>83</v>
      </c>
      <c r="E64" t="s">
        <v>19</v>
      </c>
      <c r="F64" t="s">
        <v>20</v>
      </c>
      <c r="G64">
        <v>10</v>
      </c>
      <c r="H64">
        <v>9.99</v>
      </c>
      <c r="I64">
        <v>99.9</v>
      </c>
      <c r="J64">
        <f t="shared" si="0"/>
        <v>24.975000000000001</v>
      </c>
      <c r="L64" t="str">
        <f t="shared" si="1"/>
        <v>Mar</v>
      </c>
      <c r="M64">
        <f t="shared" si="2"/>
        <v>2024</v>
      </c>
      <c r="N64" t="str">
        <f t="shared" si="3"/>
        <v>Low</v>
      </c>
      <c r="O64">
        <f t="shared" si="4"/>
        <v>0.25</v>
      </c>
    </row>
    <row r="65" spans="1:15" x14ac:dyDescent="0.3">
      <c r="A65">
        <v>10064</v>
      </c>
      <c r="B65" s="1">
        <v>45355</v>
      </c>
      <c r="C65" t="s">
        <v>21</v>
      </c>
      <c r="D65" t="s">
        <v>84</v>
      </c>
      <c r="E65" t="s">
        <v>11</v>
      </c>
      <c r="F65" t="s">
        <v>12</v>
      </c>
      <c r="G65">
        <v>4</v>
      </c>
      <c r="H65">
        <v>18.989999999999998</v>
      </c>
      <c r="I65">
        <v>75.959999999999994</v>
      </c>
      <c r="J65">
        <f t="shared" si="0"/>
        <v>18.989999999999998</v>
      </c>
      <c r="L65" t="str">
        <f t="shared" si="1"/>
        <v>Mar</v>
      </c>
      <c r="M65">
        <f t="shared" si="2"/>
        <v>2024</v>
      </c>
      <c r="N65" t="str">
        <f t="shared" si="3"/>
        <v>Low</v>
      </c>
      <c r="O65">
        <f t="shared" si="4"/>
        <v>0.25</v>
      </c>
    </row>
    <row r="66" spans="1:15" x14ac:dyDescent="0.3">
      <c r="A66">
        <v>10065</v>
      </c>
      <c r="B66" s="1">
        <v>45356</v>
      </c>
      <c r="C66" t="s">
        <v>23</v>
      </c>
      <c r="D66" t="s">
        <v>85</v>
      </c>
      <c r="E66" t="s">
        <v>15</v>
      </c>
      <c r="F66" t="s">
        <v>16</v>
      </c>
      <c r="G66">
        <v>1</v>
      </c>
      <c r="H66">
        <v>102</v>
      </c>
      <c r="I66">
        <v>102</v>
      </c>
      <c r="J66">
        <f t="shared" si="0"/>
        <v>25.5</v>
      </c>
      <c r="L66" t="str">
        <f t="shared" si="1"/>
        <v>Mar</v>
      </c>
      <c r="M66">
        <f t="shared" si="2"/>
        <v>2024</v>
      </c>
      <c r="N66" t="str">
        <f t="shared" si="3"/>
        <v>Medium</v>
      </c>
      <c r="O66">
        <f t="shared" si="4"/>
        <v>0.25</v>
      </c>
    </row>
    <row r="67" spans="1:15" x14ac:dyDescent="0.3">
      <c r="A67">
        <v>10066</v>
      </c>
      <c r="B67" s="1">
        <v>45357</v>
      </c>
      <c r="C67" t="s">
        <v>25</v>
      </c>
      <c r="D67" t="s">
        <v>86</v>
      </c>
      <c r="E67" t="s">
        <v>19</v>
      </c>
      <c r="F67" t="s">
        <v>12</v>
      </c>
      <c r="G67">
        <v>2</v>
      </c>
      <c r="H67">
        <v>299.99</v>
      </c>
      <c r="I67">
        <v>599.98</v>
      </c>
      <c r="J67">
        <f t="shared" ref="J67:J130" si="5">I67*0.25</f>
        <v>149.995</v>
      </c>
      <c r="L67" t="str">
        <f t="shared" ref="L67:L130" si="6">TEXT(B:B,"mmm")</f>
        <v>Mar</v>
      </c>
      <c r="M67">
        <f t="shared" ref="M67:M130" si="7">YEAR(B:B)</f>
        <v>2024</v>
      </c>
      <c r="N67" t="str">
        <f t="shared" ref="N67:N130" si="8">IF(I67&lt;100,"Low",IF(I67&lt;500,"Medium","High"))</f>
        <v>High</v>
      </c>
      <c r="O67">
        <f t="shared" ref="O67:O130" si="9">J67/I67</f>
        <v>0.25</v>
      </c>
    </row>
    <row r="68" spans="1:15" x14ac:dyDescent="0.3">
      <c r="A68">
        <v>10067</v>
      </c>
      <c r="B68" s="1">
        <v>45358</v>
      </c>
      <c r="C68" t="s">
        <v>9</v>
      </c>
      <c r="D68" t="s">
        <v>87</v>
      </c>
      <c r="E68" t="s">
        <v>11</v>
      </c>
      <c r="F68" t="s">
        <v>12</v>
      </c>
      <c r="G68">
        <v>1</v>
      </c>
      <c r="H68">
        <v>1199.99</v>
      </c>
      <c r="I68">
        <v>1199.99</v>
      </c>
      <c r="J68">
        <f t="shared" si="5"/>
        <v>299.9975</v>
      </c>
      <c r="L68" t="str">
        <f t="shared" si="6"/>
        <v>Mar</v>
      </c>
      <c r="M68">
        <f t="shared" si="7"/>
        <v>2024</v>
      </c>
      <c r="N68" t="str">
        <f t="shared" si="8"/>
        <v>High</v>
      </c>
      <c r="O68">
        <f t="shared" si="9"/>
        <v>0.25</v>
      </c>
    </row>
    <row r="69" spans="1:15" x14ac:dyDescent="0.3">
      <c r="A69">
        <v>10068</v>
      </c>
      <c r="B69" s="1">
        <v>45359</v>
      </c>
      <c r="C69" t="s">
        <v>13</v>
      </c>
      <c r="D69" t="s">
        <v>88</v>
      </c>
      <c r="E69" t="s">
        <v>15</v>
      </c>
      <c r="F69" t="s">
        <v>16</v>
      </c>
      <c r="G69">
        <v>3</v>
      </c>
      <c r="H69">
        <v>219.99</v>
      </c>
      <c r="I69">
        <v>659.97</v>
      </c>
      <c r="J69">
        <f t="shared" si="5"/>
        <v>164.99250000000001</v>
      </c>
      <c r="L69" t="str">
        <f t="shared" si="6"/>
        <v>Mar</v>
      </c>
      <c r="M69">
        <f t="shared" si="7"/>
        <v>2024</v>
      </c>
      <c r="N69" t="str">
        <f t="shared" si="8"/>
        <v>High</v>
      </c>
      <c r="O69">
        <f t="shared" si="9"/>
        <v>0.25</v>
      </c>
    </row>
    <row r="70" spans="1:15" x14ac:dyDescent="0.3">
      <c r="A70">
        <v>10069</v>
      </c>
      <c r="B70" s="1">
        <v>45360</v>
      </c>
      <c r="C70" t="s">
        <v>17</v>
      </c>
      <c r="D70" t="s">
        <v>89</v>
      </c>
      <c r="E70" t="s">
        <v>19</v>
      </c>
      <c r="F70" t="s">
        <v>20</v>
      </c>
      <c r="G70">
        <v>4</v>
      </c>
      <c r="H70">
        <v>59.99</v>
      </c>
      <c r="I70">
        <v>239.96</v>
      </c>
      <c r="J70">
        <f t="shared" si="5"/>
        <v>59.99</v>
      </c>
      <c r="L70" t="str">
        <f t="shared" si="6"/>
        <v>Mar</v>
      </c>
      <c r="M70">
        <f t="shared" si="7"/>
        <v>2024</v>
      </c>
      <c r="N70" t="str">
        <f t="shared" si="8"/>
        <v>Medium</v>
      </c>
      <c r="O70">
        <f t="shared" si="9"/>
        <v>0.25</v>
      </c>
    </row>
    <row r="71" spans="1:15" x14ac:dyDescent="0.3">
      <c r="A71">
        <v>10070</v>
      </c>
      <c r="B71" s="1">
        <v>45361</v>
      </c>
      <c r="C71" t="s">
        <v>21</v>
      </c>
      <c r="D71" t="s">
        <v>90</v>
      </c>
      <c r="E71" t="s">
        <v>11</v>
      </c>
      <c r="F71" t="s">
        <v>12</v>
      </c>
      <c r="G71">
        <v>2</v>
      </c>
      <c r="H71">
        <v>10.99</v>
      </c>
      <c r="I71">
        <v>21.98</v>
      </c>
      <c r="J71">
        <f t="shared" si="5"/>
        <v>5.4950000000000001</v>
      </c>
      <c r="L71" t="str">
        <f t="shared" si="6"/>
        <v>Mar</v>
      </c>
      <c r="M71">
        <f t="shared" si="7"/>
        <v>2024</v>
      </c>
      <c r="N71" t="str">
        <f t="shared" si="8"/>
        <v>Low</v>
      </c>
      <c r="O71">
        <f t="shared" si="9"/>
        <v>0.25</v>
      </c>
    </row>
    <row r="72" spans="1:15" x14ac:dyDescent="0.3">
      <c r="A72">
        <v>10071</v>
      </c>
      <c r="B72" s="1">
        <v>45362</v>
      </c>
      <c r="C72" t="s">
        <v>23</v>
      </c>
      <c r="D72" t="s">
        <v>91</v>
      </c>
      <c r="E72" t="s">
        <v>15</v>
      </c>
      <c r="F72" t="s">
        <v>16</v>
      </c>
      <c r="G72">
        <v>1</v>
      </c>
      <c r="H72">
        <v>78</v>
      </c>
      <c r="I72">
        <v>78</v>
      </c>
      <c r="J72">
        <f t="shared" si="5"/>
        <v>19.5</v>
      </c>
      <c r="L72" t="str">
        <f t="shared" si="6"/>
        <v>Mar</v>
      </c>
      <c r="M72">
        <f t="shared" si="7"/>
        <v>2024</v>
      </c>
      <c r="N72" t="str">
        <f t="shared" si="8"/>
        <v>Low</v>
      </c>
      <c r="O72">
        <f t="shared" si="9"/>
        <v>0.25</v>
      </c>
    </row>
    <row r="73" spans="1:15" x14ac:dyDescent="0.3">
      <c r="A73">
        <v>10072</v>
      </c>
      <c r="B73" s="1">
        <v>45363</v>
      </c>
      <c r="C73" t="s">
        <v>25</v>
      </c>
      <c r="D73" t="s">
        <v>92</v>
      </c>
      <c r="E73" t="s">
        <v>19</v>
      </c>
      <c r="F73" t="s">
        <v>12</v>
      </c>
      <c r="G73">
        <v>3</v>
      </c>
      <c r="H73">
        <v>129.99</v>
      </c>
      <c r="I73">
        <v>389.97</v>
      </c>
      <c r="J73">
        <f t="shared" si="5"/>
        <v>97.492500000000007</v>
      </c>
      <c r="L73" t="str">
        <f t="shared" si="6"/>
        <v>Mar</v>
      </c>
      <c r="M73">
        <f t="shared" si="7"/>
        <v>2024</v>
      </c>
      <c r="N73" t="str">
        <f t="shared" si="8"/>
        <v>Medium</v>
      </c>
      <c r="O73">
        <f t="shared" si="9"/>
        <v>0.25</v>
      </c>
    </row>
    <row r="74" spans="1:15" x14ac:dyDescent="0.3">
      <c r="A74">
        <v>10073</v>
      </c>
      <c r="B74" s="1">
        <v>45364</v>
      </c>
      <c r="C74" t="s">
        <v>9</v>
      </c>
      <c r="D74" t="s">
        <v>93</v>
      </c>
      <c r="E74" t="s">
        <v>11</v>
      </c>
      <c r="F74" t="s">
        <v>12</v>
      </c>
      <c r="G74">
        <v>1</v>
      </c>
      <c r="H74">
        <v>1599.99</v>
      </c>
      <c r="I74">
        <v>1599.99</v>
      </c>
      <c r="J74">
        <f t="shared" si="5"/>
        <v>399.9975</v>
      </c>
      <c r="L74" t="str">
        <f t="shared" si="6"/>
        <v>Mar</v>
      </c>
      <c r="M74">
        <f t="shared" si="7"/>
        <v>2024</v>
      </c>
      <c r="N74" t="str">
        <f t="shared" si="8"/>
        <v>High</v>
      </c>
      <c r="O74">
        <f t="shared" si="9"/>
        <v>0.25</v>
      </c>
    </row>
    <row r="75" spans="1:15" x14ac:dyDescent="0.3">
      <c r="A75">
        <v>10074</v>
      </c>
      <c r="B75" s="1">
        <v>45365</v>
      </c>
      <c r="C75" t="s">
        <v>13</v>
      </c>
      <c r="D75" t="s">
        <v>94</v>
      </c>
      <c r="E75" t="s">
        <v>15</v>
      </c>
      <c r="F75" t="s">
        <v>16</v>
      </c>
      <c r="G75">
        <v>1</v>
      </c>
      <c r="H75">
        <v>899.99</v>
      </c>
      <c r="I75">
        <v>899.99</v>
      </c>
      <c r="J75">
        <f t="shared" si="5"/>
        <v>224.9975</v>
      </c>
      <c r="L75" t="str">
        <f t="shared" si="6"/>
        <v>Mar</v>
      </c>
      <c r="M75">
        <f t="shared" si="7"/>
        <v>2024</v>
      </c>
      <c r="N75" t="str">
        <f t="shared" si="8"/>
        <v>High</v>
      </c>
      <c r="O75">
        <f t="shared" si="9"/>
        <v>0.25</v>
      </c>
    </row>
    <row r="76" spans="1:15" x14ac:dyDescent="0.3">
      <c r="A76">
        <v>10075</v>
      </c>
      <c r="B76" s="1">
        <v>45366</v>
      </c>
      <c r="C76" t="s">
        <v>17</v>
      </c>
      <c r="D76" t="s">
        <v>95</v>
      </c>
      <c r="E76" t="s">
        <v>19</v>
      </c>
      <c r="F76" t="s">
        <v>20</v>
      </c>
      <c r="G76">
        <v>5</v>
      </c>
      <c r="H76">
        <v>49.99</v>
      </c>
      <c r="I76">
        <v>249.95</v>
      </c>
      <c r="J76">
        <f t="shared" si="5"/>
        <v>62.487499999999997</v>
      </c>
      <c r="L76" t="str">
        <f t="shared" si="6"/>
        <v>Mar</v>
      </c>
      <c r="M76">
        <f t="shared" si="7"/>
        <v>2024</v>
      </c>
      <c r="N76" t="str">
        <f t="shared" si="8"/>
        <v>Medium</v>
      </c>
      <c r="O76">
        <f t="shared" si="9"/>
        <v>0.25</v>
      </c>
    </row>
    <row r="77" spans="1:15" x14ac:dyDescent="0.3">
      <c r="A77">
        <v>10076</v>
      </c>
      <c r="B77" s="1">
        <v>45367</v>
      </c>
      <c r="C77" t="s">
        <v>21</v>
      </c>
      <c r="D77" t="s">
        <v>96</v>
      </c>
      <c r="E77" t="s">
        <v>11</v>
      </c>
      <c r="F77" t="s">
        <v>12</v>
      </c>
      <c r="G77">
        <v>4</v>
      </c>
      <c r="H77">
        <v>14.99</v>
      </c>
      <c r="I77">
        <v>59.96</v>
      </c>
      <c r="J77">
        <f t="shared" si="5"/>
        <v>14.99</v>
      </c>
      <c r="L77" t="str">
        <f t="shared" si="6"/>
        <v>Mar</v>
      </c>
      <c r="M77">
        <f t="shared" si="7"/>
        <v>2024</v>
      </c>
      <c r="N77" t="str">
        <f t="shared" si="8"/>
        <v>Low</v>
      </c>
      <c r="O77">
        <f t="shared" si="9"/>
        <v>0.25</v>
      </c>
    </row>
    <row r="78" spans="1:15" x14ac:dyDescent="0.3">
      <c r="A78">
        <v>10077</v>
      </c>
      <c r="B78" s="1">
        <v>45368</v>
      </c>
      <c r="C78" t="s">
        <v>23</v>
      </c>
      <c r="D78" t="s">
        <v>97</v>
      </c>
      <c r="E78" t="s">
        <v>15</v>
      </c>
      <c r="F78" t="s">
        <v>16</v>
      </c>
      <c r="G78">
        <v>2</v>
      </c>
      <c r="H78">
        <v>16</v>
      </c>
      <c r="I78">
        <v>32</v>
      </c>
      <c r="J78">
        <f t="shared" si="5"/>
        <v>8</v>
      </c>
      <c r="L78" t="str">
        <f t="shared" si="6"/>
        <v>Mar</v>
      </c>
      <c r="M78">
        <f t="shared" si="7"/>
        <v>2024</v>
      </c>
      <c r="N78" t="str">
        <f t="shared" si="8"/>
        <v>Low</v>
      </c>
      <c r="O78">
        <f t="shared" si="9"/>
        <v>0.25</v>
      </c>
    </row>
    <row r="79" spans="1:15" x14ac:dyDescent="0.3">
      <c r="A79">
        <v>10078</v>
      </c>
      <c r="B79" s="1">
        <v>45369</v>
      </c>
      <c r="C79" t="s">
        <v>25</v>
      </c>
      <c r="D79" t="s">
        <v>98</v>
      </c>
      <c r="E79" t="s">
        <v>19</v>
      </c>
      <c r="F79" t="s">
        <v>12</v>
      </c>
      <c r="G79">
        <v>3</v>
      </c>
      <c r="H79">
        <v>69.989999999999995</v>
      </c>
      <c r="I79">
        <v>209.97</v>
      </c>
      <c r="J79">
        <f t="shared" si="5"/>
        <v>52.4925</v>
      </c>
      <c r="L79" t="str">
        <f t="shared" si="6"/>
        <v>Mar</v>
      </c>
      <c r="M79">
        <f t="shared" si="7"/>
        <v>2024</v>
      </c>
      <c r="N79" t="str">
        <f t="shared" si="8"/>
        <v>Medium</v>
      </c>
      <c r="O79">
        <f t="shared" si="9"/>
        <v>0.25</v>
      </c>
    </row>
    <row r="80" spans="1:15" x14ac:dyDescent="0.3">
      <c r="A80">
        <v>10079</v>
      </c>
      <c r="B80" s="1">
        <v>45370</v>
      </c>
      <c r="C80" t="s">
        <v>9</v>
      </c>
      <c r="D80" t="s">
        <v>99</v>
      </c>
      <c r="E80" t="s">
        <v>11</v>
      </c>
      <c r="F80" t="s">
        <v>12</v>
      </c>
      <c r="G80">
        <v>2</v>
      </c>
      <c r="H80">
        <v>249.99</v>
      </c>
      <c r="I80">
        <v>499.98</v>
      </c>
      <c r="J80">
        <f t="shared" si="5"/>
        <v>124.995</v>
      </c>
      <c r="L80" t="str">
        <f t="shared" si="6"/>
        <v>Mar</v>
      </c>
      <c r="M80">
        <f t="shared" si="7"/>
        <v>2024</v>
      </c>
      <c r="N80" t="str">
        <f t="shared" si="8"/>
        <v>Medium</v>
      </c>
      <c r="O80">
        <f t="shared" si="9"/>
        <v>0.25</v>
      </c>
    </row>
    <row r="81" spans="1:15" x14ac:dyDescent="0.3">
      <c r="A81">
        <v>10080</v>
      </c>
      <c r="B81" s="1">
        <v>45371</v>
      </c>
      <c r="C81" t="s">
        <v>13</v>
      </c>
      <c r="D81" t="s">
        <v>100</v>
      </c>
      <c r="E81" t="s">
        <v>15</v>
      </c>
      <c r="F81" t="s">
        <v>16</v>
      </c>
      <c r="G81">
        <v>1</v>
      </c>
      <c r="H81">
        <v>499.99</v>
      </c>
      <c r="I81">
        <v>499.99</v>
      </c>
      <c r="J81">
        <f t="shared" si="5"/>
        <v>124.9975</v>
      </c>
      <c r="L81" t="str">
        <f t="shared" si="6"/>
        <v>Mar</v>
      </c>
      <c r="M81">
        <f t="shared" si="7"/>
        <v>2024</v>
      </c>
      <c r="N81" t="str">
        <f t="shared" si="8"/>
        <v>Medium</v>
      </c>
      <c r="O81">
        <f t="shared" si="9"/>
        <v>0.25</v>
      </c>
    </row>
    <row r="82" spans="1:15" x14ac:dyDescent="0.3">
      <c r="A82">
        <v>10081</v>
      </c>
      <c r="B82" s="1">
        <v>45372</v>
      </c>
      <c r="C82" t="s">
        <v>17</v>
      </c>
      <c r="D82" t="s">
        <v>101</v>
      </c>
      <c r="E82" t="s">
        <v>19</v>
      </c>
      <c r="F82" t="s">
        <v>20</v>
      </c>
      <c r="G82">
        <v>2</v>
      </c>
      <c r="H82">
        <v>89.99</v>
      </c>
      <c r="I82">
        <v>179.98</v>
      </c>
      <c r="J82">
        <f t="shared" si="5"/>
        <v>44.994999999999997</v>
      </c>
      <c r="L82" t="str">
        <f t="shared" si="6"/>
        <v>Mar</v>
      </c>
      <c r="M82">
        <f t="shared" si="7"/>
        <v>2024</v>
      </c>
      <c r="N82" t="str">
        <f t="shared" si="8"/>
        <v>Medium</v>
      </c>
      <c r="O82">
        <f t="shared" si="9"/>
        <v>0.25</v>
      </c>
    </row>
    <row r="83" spans="1:15" x14ac:dyDescent="0.3">
      <c r="A83">
        <v>10082</v>
      </c>
      <c r="B83" s="1">
        <v>45373</v>
      </c>
      <c r="C83" t="s">
        <v>21</v>
      </c>
      <c r="D83" t="s">
        <v>102</v>
      </c>
      <c r="E83" t="s">
        <v>11</v>
      </c>
      <c r="F83" t="s">
        <v>12</v>
      </c>
      <c r="G83">
        <v>3</v>
      </c>
      <c r="H83">
        <v>12.99</v>
      </c>
      <c r="I83">
        <v>38.97</v>
      </c>
      <c r="J83">
        <f t="shared" si="5"/>
        <v>9.7424999999999997</v>
      </c>
      <c r="L83" t="str">
        <f t="shared" si="6"/>
        <v>Mar</v>
      </c>
      <c r="M83">
        <f t="shared" si="7"/>
        <v>2024</v>
      </c>
      <c r="N83" t="str">
        <f t="shared" si="8"/>
        <v>Low</v>
      </c>
      <c r="O83">
        <f t="shared" si="9"/>
        <v>0.25</v>
      </c>
    </row>
    <row r="84" spans="1:15" x14ac:dyDescent="0.3">
      <c r="A84">
        <v>10083</v>
      </c>
      <c r="B84" s="1">
        <v>45374</v>
      </c>
      <c r="C84" t="s">
        <v>23</v>
      </c>
      <c r="D84" t="s">
        <v>103</v>
      </c>
      <c r="E84" t="s">
        <v>15</v>
      </c>
      <c r="F84" t="s">
        <v>16</v>
      </c>
      <c r="G84">
        <v>1</v>
      </c>
      <c r="H84">
        <v>100</v>
      </c>
      <c r="I84">
        <v>100</v>
      </c>
      <c r="J84">
        <f t="shared" si="5"/>
        <v>25</v>
      </c>
      <c r="L84" t="str">
        <f t="shared" si="6"/>
        <v>Mar</v>
      </c>
      <c r="M84">
        <f t="shared" si="7"/>
        <v>2024</v>
      </c>
      <c r="N84" t="str">
        <f t="shared" si="8"/>
        <v>Medium</v>
      </c>
      <c r="O84">
        <f t="shared" si="9"/>
        <v>0.25</v>
      </c>
    </row>
    <row r="85" spans="1:15" x14ac:dyDescent="0.3">
      <c r="A85">
        <v>10084</v>
      </c>
      <c r="B85" s="1">
        <v>45375</v>
      </c>
      <c r="C85" t="s">
        <v>25</v>
      </c>
      <c r="D85" t="s">
        <v>104</v>
      </c>
      <c r="E85" t="s">
        <v>19</v>
      </c>
      <c r="F85" t="s">
        <v>12</v>
      </c>
      <c r="G85">
        <v>6</v>
      </c>
      <c r="H85">
        <v>24.99</v>
      </c>
      <c r="I85">
        <v>149.94</v>
      </c>
      <c r="J85">
        <f t="shared" si="5"/>
        <v>37.484999999999999</v>
      </c>
      <c r="L85" t="str">
        <f t="shared" si="6"/>
        <v>Mar</v>
      </c>
      <c r="M85">
        <f t="shared" si="7"/>
        <v>2024</v>
      </c>
      <c r="N85" t="str">
        <f t="shared" si="8"/>
        <v>Medium</v>
      </c>
      <c r="O85">
        <f t="shared" si="9"/>
        <v>0.25</v>
      </c>
    </row>
    <row r="86" spans="1:15" x14ac:dyDescent="0.3">
      <c r="A86">
        <v>10085</v>
      </c>
      <c r="B86" s="1">
        <v>45376</v>
      </c>
      <c r="C86" t="s">
        <v>9</v>
      </c>
      <c r="D86" t="s">
        <v>105</v>
      </c>
      <c r="E86" t="s">
        <v>11</v>
      </c>
      <c r="F86" t="s">
        <v>12</v>
      </c>
      <c r="G86">
        <v>1</v>
      </c>
      <c r="H86">
        <v>99.99</v>
      </c>
      <c r="I86">
        <v>99.99</v>
      </c>
      <c r="J86">
        <f t="shared" si="5"/>
        <v>24.997499999999999</v>
      </c>
      <c r="L86" t="str">
        <f t="shared" si="6"/>
        <v>Mar</v>
      </c>
      <c r="M86">
        <f t="shared" si="7"/>
        <v>2024</v>
      </c>
      <c r="N86" t="str">
        <f t="shared" si="8"/>
        <v>Low</v>
      </c>
      <c r="O86">
        <f t="shared" si="9"/>
        <v>0.25</v>
      </c>
    </row>
    <row r="87" spans="1:15" x14ac:dyDescent="0.3">
      <c r="A87">
        <v>10086</v>
      </c>
      <c r="B87" s="1">
        <v>45377</v>
      </c>
      <c r="C87" t="s">
        <v>13</v>
      </c>
      <c r="D87" t="s">
        <v>106</v>
      </c>
      <c r="E87" t="s">
        <v>15</v>
      </c>
      <c r="F87" t="s">
        <v>16</v>
      </c>
      <c r="G87">
        <v>2</v>
      </c>
      <c r="H87">
        <v>1299.99</v>
      </c>
      <c r="I87">
        <v>2599.98</v>
      </c>
      <c r="J87">
        <f t="shared" si="5"/>
        <v>649.995</v>
      </c>
      <c r="L87" t="str">
        <f t="shared" si="6"/>
        <v>Mar</v>
      </c>
      <c r="M87">
        <f t="shared" si="7"/>
        <v>2024</v>
      </c>
      <c r="N87" t="str">
        <f t="shared" si="8"/>
        <v>High</v>
      </c>
      <c r="O87">
        <f t="shared" si="9"/>
        <v>0.25</v>
      </c>
    </row>
    <row r="88" spans="1:15" x14ac:dyDescent="0.3">
      <c r="A88">
        <v>10087</v>
      </c>
      <c r="B88" s="1">
        <v>45378</v>
      </c>
      <c r="C88" t="s">
        <v>17</v>
      </c>
      <c r="D88" t="s">
        <v>107</v>
      </c>
      <c r="E88" t="s">
        <v>19</v>
      </c>
      <c r="F88" t="s">
        <v>20</v>
      </c>
      <c r="G88">
        <v>3</v>
      </c>
      <c r="H88">
        <v>79.989999999999995</v>
      </c>
      <c r="I88">
        <v>239.97</v>
      </c>
      <c r="J88">
        <f t="shared" si="5"/>
        <v>59.9925</v>
      </c>
      <c r="L88" t="str">
        <f t="shared" si="6"/>
        <v>Mar</v>
      </c>
      <c r="M88">
        <f t="shared" si="7"/>
        <v>2024</v>
      </c>
      <c r="N88" t="str">
        <f t="shared" si="8"/>
        <v>Medium</v>
      </c>
      <c r="O88">
        <f t="shared" si="9"/>
        <v>0.25</v>
      </c>
    </row>
    <row r="89" spans="1:15" x14ac:dyDescent="0.3">
      <c r="A89">
        <v>10088</v>
      </c>
      <c r="B89" s="1">
        <v>45379</v>
      </c>
      <c r="C89" t="s">
        <v>21</v>
      </c>
      <c r="D89" t="s">
        <v>108</v>
      </c>
      <c r="E89" t="s">
        <v>11</v>
      </c>
      <c r="F89" t="s">
        <v>12</v>
      </c>
      <c r="G89">
        <v>4</v>
      </c>
      <c r="H89">
        <v>13.99</v>
      </c>
      <c r="I89">
        <v>55.96</v>
      </c>
      <c r="J89">
        <f t="shared" si="5"/>
        <v>13.99</v>
      </c>
      <c r="L89" t="str">
        <f t="shared" si="6"/>
        <v>Mar</v>
      </c>
      <c r="M89">
        <f t="shared" si="7"/>
        <v>2024</v>
      </c>
      <c r="N89" t="str">
        <f t="shared" si="8"/>
        <v>Low</v>
      </c>
      <c r="O89">
        <f t="shared" si="9"/>
        <v>0.25</v>
      </c>
    </row>
    <row r="90" spans="1:15" x14ac:dyDescent="0.3">
      <c r="A90">
        <v>10089</v>
      </c>
      <c r="B90" s="1">
        <v>45380</v>
      </c>
      <c r="C90" t="s">
        <v>23</v>
      </c>
      <c r="D90" t="s">
        <v>109</v>
      </c>
      <c r="E90" t="s">
        <v>15</v>
      </c>
      <c r="F90" t="s">
        <v>16</v>
      </c>
      <c r="G90">
        <v>1</v>
      </c>
      <c r="H90">
        <v>105</v>
      </c>
      <c r="I90">
        <v>105</v>
      </c>
      <c r="J90">
        <f t="shared" si="5"/>
        <v>26.25</v>
      </c>
      <c r="L90" t="str">
        <f t="shared" si="6"/>
        <v>Mar</v>
      </c>
      <c r="M90">
        <f t="shared" si="7"/>
        <v>2024</v>
      </c>
      <c r="N90" t="str">
        <f t="shared" si="8"/>
        <v>Medium</v>
      </c>
      <c r="O90">
        <f t="shared" si="9"/>
        <v>0.25</v>
      </c>
    </row>
    <row r="91" spans="1:15" x14ac:dyDescent="0.3">
      <c r="A91">
        <v>10090</v>
      </c>
      <c r="B91" s="1">
        <v>45381</v>
      </c>
      <c r="C91" t="s">
        <v>25</v>
      </c>
      <c r="D91" t="s">
        <v>110</v>
      </c>
      <c r="E91" t="s">
        <v>19</v>
      </c>
      <c r="F91" t="s">
        <v>12</v>
      </c>
      <c r="G91">
        <v>2</v>
      </c>
      <c r="H91">
        <v>129.99</v>
      </c>
      <c r="I91">
        <v>259.98</v>
      </c>
      <c r="J91">
        <f t="shared" si="5"/>
        <v>64.995000000000005</v>
      </c>
      <c r="L91" t="str">
        <f t="shared" si="6"/>
        <v>Mar</v>
      </c>
      <c r="M91">
        <f t="shared" si="7"/>
        <v>2024</v>
      </c>
      <c r="N91" t="str">
        <f t="shared" si="8"/>
        <v>Medium</v>
      </c>
      <c r="O91">
        <f t="shared" si="9"/>
        <v>0.25</v>
      </c>
    </row>
    <row r="92" spans="1:15" x14ac:dyDescent="0.3">
      <c r="A92">
        <v>10091</v>
      </c>
      <c r="B92" s="1">
        <v>45382</v>
      </c>
      <c r="C92" t="s">
        <v>9</v>
      </c>
      <c r="D92" t="s">
        <v>111</v>
      </c>
      <c r="E92" t="s">
        <v>11</v>
      </c>
      <c r="F92" t="s">
        <v>12</v>
      </c>
      <c r="G92">
        <v>2</v>
      </c>
      <c r="H92">
        <v>99.99</v>
      </c>
      <c r="I92">
        <v>199.98</v>
      </c>
      <c r="J92">
        <f t="shared" si="5"/>
        <v>49.994999999999997</v>
      </c>
      <c r="L92" t="str">
        <f t="shared" si="6"/>
        <v>Mar</v>
      </c>
      <c r="M92">
        <f t="shared" si="7"/>
        <v>2024</v>
      </c>
      <c r="N92" t="str">
        <f t="shared" si="8"/>
        <v>Medium</v>
      </c>
      <c r="O92">
        <f t="shared" si="9"/>
        <v>0.25</v>
      </c>
    </row>
    <row r="93" spans="1:15" x14ac:dyDescent="0.3">
      <c r="A93">
        <v>10092</v>
      </c>
      <c r="B93" s="1">
        <v>45383</v>
      </c>
      <c r="C93" t="s">
        <v>13</v>
      </c>
      <c r="D93" t="s">
        <v>112</v>
      </c>
      <c r="E93" t="s">
        <v>15</v>
      </c>
      <c r="F93" t="s">
        <v>16</v>
      </c>
      <c r="G93">
        <v>1</v>
      </c>
      <c r="H93">
        <v>179.99</v>
      </c>
      <c r="I93">
        <v>179.99</v>
      </c>
      <c r="J93">
        <f t="shared" si="5"/>
        <v>44.997500000000002</v>
      </c>
      <c r="L93" t="str">
        <f t="shared" si="6"/>
        <v>Apr</v>
      </c>
      <c r="M93">
        <f t="shared" si="7"/>
        <v>2024</v>
      </c>
      <c r="N93" t="str">
        <f t="shared" si="8"/>
        <v>Medium</v>
      </c>
      <c r="O93">
        <f t="shared" si="9"/>
        <v>0.25</v>
      </c>
    </row>
    <row r="94" spans="1:15" x14ac:dyDescent="0.3">
      <c r="A94">
        <v>10093</v>
      </c>
      <c r="B94" s="1">
        <v>45384</v>
      </c>
      <c r="C94" t="s">
        <v>17</v>
      </c>
      <c r="D94" t="s">
        <v>113</v>
      </c>
      <c r="E94" t="s">
        <v>19</v>
      </c>
      <c r="F94" t="s">
        <v>20</v>
      </c>
      <c r="G94">
        <v>4</v>
      </c>
      <c r="H94">
        <v>79.989999999999995</v>
      </c>
      <c r="I94">
        <v>319.95999999999998</v>
      </c>
      <c r="J94">
        <f t="shared" si="5"/>
        <v>79.989999999999995</v>
      </c>
      <c r="L94" t="str">
        <f t="shared" si="6"/>
        <v>Apr</v>
      </c>
      <c r="M94">
        <f t="shared" si="7"/>
        <v>2024</v>
      </c>
      <c r="N94" t="str">
        <f t="shared" si="8"/>
        <v>Medium</v>
      </c>
      <c r="O94">
        <f t="shared" si="9"/>
        <v>0.25</v>
      </c>
    </row>
    <row r="95" spans="1:15" x14ac:dyDescent="0.3">
      <c r="A95">
        <v>10094</v>
      </c>
      <c r="B95" s="1">
        <v>45385</v>
      </c>
      <c r="C95" t="s">
        <v>21</v>
      </c>
      <c r="D95" t="s">
        <v>114</v>
      </c>
      <c r="E95" t="s">
        <v>11</v>
      </c>
      <c r="F95" t="s">
        <v>12</v>
      </c>
      <c r="G95">
        <v>3</v>
      </c>
      <c r="H95">
        <v>14.99</v>
      </c>
      <c r="I95">
        <v>44.97</v>
      </c>
      <c r="J95">
        <f t="shared" si="5"/>
        <v>11.2425</v>
      </c>
      <c r="L95" t="str">
        <f t="shared" si="6"/>
        <v>Apr</v>
      </c>
      <c r="M95">
        <f t="shared" si="7"/>
        <v>2024</v>
      </c>
      <c r="N95" t="str">
        <f t="shared" si="8"/>
        <v>Low</v>
      </c>
      <c r="O95">
        <f t="shared" si="9"/>
        <v>0.25</v>
      </c>
    </row>
    <row r="96" spans="1:15" x14ac:dyDescent="0.3">
      <c r="A96">
        <v>10095</v>
      </c>
      <c r="B96" s="1">
        <v>45386</v>
      </c>
      <c r="C96" t="s">
        <v>23</v>
      </c>
      <c r="D96" t="s">
        <v>115</v>
      </c>
      <c r="E96" t="s">
        <v>15</v>
      </c>
      <c r="F96" t="s">
        <v>16</v>
      </c>
      <c r="G96">
        <v>1</v>
      </c>
      <c r="H96">
        <v>68</v>
      </c>
      <c r="I96">
        <v>68</v>
      </c>
      <c r="J96">
        <f t="shared" si="5"/>
        <v>17</v>
      </c>
      <c r="L96" t="str">
        <f t="shared" si="6"/>
        <v>Apr</v>
      </c>
      <c r="M96">
        <f t="shared" si="7"/>
        <v>2024</v>
      </c>
      <c r="N96" t="str">
        <f t="shared" si="8"/>
        <v>Low</v>
      </c>
      <c r="O96">
        <f t="shared" si="9"/>
        <v>0.25</v>
      </c>
    </row>
    <row r="97" spans="1:15" x14ac:dyDescent="0.3">
      <c r="A97">
        <v>10096</v>
      </c>
      <c r="B97" s="1">
        <v>45387</v>
      </c>
      <c r="C97" t="s">
        <v>25</v>
      </c>
      <c r="D97" t="s">
        <v>116</v>
      </c>
      <c r="E97" t="s">
        <v>19</v>
      </c>
      <c r="F97" t="s">
        <v>12</v>
      </c>
      <c r="G97">
        <v>1</v>
      </c>
      <c r="H97">
        <v>999.99</v>
      </c>
      <c r="I97">
        <v>999.99</v>
      </c>
      <c r="J97">
        <f t="shared" si="5"/>
        <v>249.9975</v>
      </c>
      <c r="L97" t="str">
        <f t="shared" si="6"/>
        <v>Apr</v>
      </c>
      <c r="M97">
        <f t="shared" si="7"/>
        <v>2024</v>
      </c>
      <c r="N97" t="str">
        <f t="shared" si="8"/>
        <v>High</v>
      </c>
      <c r="O97">
        <f t="shared" si="9"/>
        <v>0.25</v>
      </c>
    </row>
    <row r="98" spans="1:15" x14ac:dyDescent="0.3">
      <c r="A98">
        <v>10097</v>
      </c>
      <c r="B98" s="1">
        <v>45388</v>
      </c>
      <c r="C98" t="s">
        <v>9</v>
      </c>
      <c r="D98" t="s">
        <v>117</v>
      </c>
      <c r="E98" t="s">
        <v>11</v>
      </c>
      <c r="F98" t="s">
        <v>12</v>
      </c>
      <c r="G98">
        <v>3</v>
      </c>
      <c r="H98">
        <v>299.99</v>
      </c>
      <c r="I98">
        <v>899.97</v>
      </c>
      <c r="J98">
        <f t="shared" si="5"/>
        <v>224.99250000000001</v>
      </c>
      <c r="L98" t="str">
        <f t="shared" si="6"/>
        <v>Apr</v>
      </c>
      <c r="M98">
        <f t="shared" si="7"/>
        <v>2024</v>
      </c>
      <c r="N98" t="str">
        <f t="shared" si="8"/>
        <v>High</v>
      </c>
      <c r="O98">
        <f t="shared" si="9"/>
        <v>0.25</v>
      </c>
    </row>
    <row r="99" spans="1:15" x14ac:dyDescent="0.3">
      <c r="A99">
        <v>10098</v>
      </c>
      <c r="B99" s="1">
        <v>45389</v>
      </c>
      <c r="C99" t="s">
        <v>13</v>
      </c>
      <c r="D99" t="s">
        <v>118</v>
      </c>
      <c r="E99" t="s">
        <v>15</v>
      </c>
      <c r="F99" t="s">
        <v>16</v>
      </c>
      <c r="G99">
        <v>1</v>
      </c>
      <c r="H99">
        <v>349.99</v>
      </c>
      <c r="I99">
        <v>349.99</v>
      </c>
      <c r="J99">
        <f t="shared" si="5"/>
        <v>87.497500000000002</v>
      </c>
      <c r="L99" t="str">
        <f t="shared" si="6"/>
        <v>Apr</v>
      </c>
      <c r="M99">
        <f t="shared" si="7"/>
        <v>2024</v>
      </c>
      <c r="N99" t="str">
        <f t="shared" si="8"/>
        <v>Medium</v>
      </c>
      <c r="O99">
        <f t="shared" si="9"/>
        <v>0.25</v>
      </c>
    </row>
    <row r="100" spans="1:15" x14ac:dyDescent="0.3">
      <c r="A100">
        <v>10099</v>
      </c>
      <c r="B100" s="1">
        <v>45390</v>
      </c>
      <c r="C100" t="s">
        <v>17</v>
      </c>
      <c r="D100" t="s">
        <v>119</v>
      </c>
      <c r="E100" t="s">
        <v>19</v>
      </c>
      <c r="F100" t="s">
        <v>20</v>
      </c>
      <c r="G100">
        <v>6</v>
      </c>
      <c r="H100">
        <v>19.989999999999998</v>
      </c>
      <c r="I100">
        <v>119.94</v>
      </c>
      <c r="J100">
        <f t="shared" si="5"/>
        <v>29.984999999999999</v>
      </c>
      <c r="L100" t="str">
        <f t="shared" si="6"/>
        <v>Apr</v>
      </c>
      <c r="M100">
        <f t="shared" si="7"/>
        <v>2024</v>
      </c>
      <c r="N100" t="str">
        <f t="shared" si="8"/>
        <v>Medium</v>
      </c>
      <c r="O100">
        <f t="shared" si="9"/>
        <v>0.25</v>
      </c>
    </row>
    <row r="101" spans="1:15" x14ac:dyDescent="0.3">
      <c r="A101">
        <v>10100</v>
      </c>
      <c r="B101" s="1">
        <v>45391</v>
      </c>
      <c r="C101" t="s">
        <v>21</v>
      </c>
      <c r="D101" t="s">
        <v>120</v>
      </c>
      <c r="E101" t="s">
        <v>11</v>
      </c>
      <c r="F101" t="s">
        <v>12</v>
      </c>
      <c r="G101">
        <v>2</v>
      </c>
      <c r="H101">
        <v>12.99</v>
      </c>
      <c r="I101">
        <v>25.98</v>
      </c>
      <c r="J101">
        <f t="shared" si="5"/>
        <v>6.4950000000000001</v>
      </c>
      <c r="L101" t="str">
        <f t="shared" si="6"/>
        <v>Apr</v>
      </c>
      <c r="M101">
        <f t="shared" si="7"/>
        <v>2024</v>
      </c>
      <c r="N101" t="str">
        <f t="shared" si="8"/>
        <v>Low</v>
      </c>
      <c r="O101">
        <f t="shared" si="9"/>
        <v>0.25</v>
      </c>
    </row>
    <row r="102" spans="1:15" x14ac:dyDescent="0.3">
      <c r="A102">
        <v>10101</v>
      </c>
      <c r="B102" s="1">
        <v>45392</v>
      </c>
      <c r="C102" t="s">
        <v>23</v>
      </c>
      <c r="D102" t="s">
        <v>121</v>
      </c>
      <c r="E102" t="s">
        <v>15</v>
      </c>
      <c r="F102" t="s">
        <v>16</v>
      </c>
      <c r="G102">
        <v>1</v>
      </c>
      <c r="H102">
        <v>82</v>
      </c>
      <c r="I102">
        <v>82</v>
      </c>
      <c r="J102">
        <f t="shared" si="5"/>
        <v>20.5</v>
      </c>
      <c r="L102" t="str">
        <f t="shared" si="6"/>
        <v>Apr</v>
      </c>
      <c r="M102">
        <f t="shared" si="7"/>
        <v>2024</v>
      </c>
      <c r="N102" t="str">
        <f t="shared" si="8"/>
        <v>Low</v>
      </c>
      <c r="O102">
        <f t="shared" si="9"/>
        <v>0.25</v>
      </c>
    </row>
    <row r="103" spans="1:15" x14ac:dyDescent="0.3">
      <c r="A103">
        <v>10102</v>
      </c>
      <c r="B103" s="1">
        <v>45393</v>
      </c>
      <c r="C103" t="s">
        <v>25</v>
      </c>
      <c r="D103" t="s">
        <v>122</v>
      </c>
      <c r="E103" t="s">
        <v>19</v>
      </c>
      <c r="F103" t="s">
        <v>12</v>
      </c>
      <c r="G103">
        <v>2</v>
      </c>
      <c r="H103">
        <v>109.99</v>
      </c>
      <c r="I103">
        <v>219.98</v>
      </c>
      <c r="J103">
        <f t="shared" si="5"/>
        <v>54.994999999999997</v>
      </c>
      <c r="L103" t="str">
        <f t="shared" si="6"/>
        <v>Apr</v>
      </c>
      <c r="M103">
        <f t="shared" si="7"/>
        <v>2024</v>
      </c>
      <c r="N103" t="str">
        <f t="shared" si="8"/>
        <v>Medium</v>
      </c>
      <c r="O103">
        <f t="shared" si="9"/>
        <v>0.25</v>
      </c>
    </row>
    <row r="104" spans="1:15" x14ac:dyDescent="0.3">
      <c r="A104">
        <v>10103</v>
      </c>
      <c r="B104" s="1">
        <v>45394</v>
      </c>
      <c r="C104" t="s">
        <v>9</v>
      </c>
      <c r="D104" t="s">
        <v>123</v>
      </c>
      <c r="E104" t="s">
        <v>11</v>
      </c>
      <c r="F104" t="s">
        <v>12</v>
      </c>
      <c r="G104">
        <v>1</v>
      </c>
      <c r="H104">
        <v>3899.99</v>
      </c>
      <c r="I104">
        <v>3899.99</v>
      </c>
      <c r="J104">
        <f t="shared" si="5"/>
        <v>974.99749999999995</v>
      </c>
      <c r="L104" t="str">
        <f t="shared" si="6"/>
        <v>Apr</v>
      </c>
      <c r="M104">
        <f t="shared" si="7"/>
        <v>2024</v>
      </c>
      <c r="N104" t="str">
        <f t="shared" si="8"/>
        <v>High</v>
      </c>
      <c r="O104">
        <f t="shared" si="9"/>
        <v>0.25</v>
      </c>
    </row>
    <row r="105" spans="1:15" x14ac:dyDescent="0.3">
      <c r="A105">
        <v>10104</v>
      </c>
      <c r="B105" s="1">
        <v>45395</v>
      </c>
      <c r="C105" t="s">
        <v>13</v>
      </c>
      <c r="D105" t="s">
        <v>124</v>
      </c>
      <c r="E105" t="s">
        <v>15</v>
      </c>
      <c r="F105" t="s">
        <v>16</v>
      </c>
      <c r="G105">
        <v>2</v>
      </c>
      <c r="H105">
        <v>349.99</v>
      </c>
      <c r="I105">
        <v>699.98</v>
      </c>
      <c r="J105">
        <f t="shared" si="5"/>
        <v>174.995</v>
      </c>
      <c r="L105" t="str">
        <f t="shared" si="6"/>
        <v>Apr</v>
      </c>
      <c r="M105">
        <f t="shared" si="7"/>
        <v>2024</v>
      </c>
      <c r="N105" t="str">
        <f t="shared" si="8"/>
        <v>High</v>
      </c>
      <c r="O105">
        <f t="shared" si="9"/>
        <v>0.25</v>
      </c>
    </row>
    <row r="106" spans="1:15" x14ac:dyDescent="0.3">
      <c r="A106">
        <v>10105</v>
      </c>
      <c r="B106" s="1">
        <v>45396</v>
      </c>
      <c r="C106" t="s">
        <v>17</v>
      </c>
      <c r="D106" t="s">
        <v>125</v>
      </c>
      <c r="E106" t="s">
        <v>19</v>
      </c>
      <c r="F106" t="s">
        <v>20</v>
      </c>
      <c r="G106">
        <v>3</v>
      </c>
      <c r="H106">
        <v>39.99</v>
      </c>
      <c r="I106">
        <v>119.97</v>
      </c>
      <c r="J106">
        <f t="shared" si="5"/>
        <v>29.9925</v>
      </c>
      <c r="L106" t="str">
        <f t="shared" si="6"/>
        <v>Apr</v>
      </c>
      <c r="M106">
        <f t="shared" si="7"/>
        <v>2024</v>
      </c>
      <c r="N106" t="str">
        <f t="shared" si="8"/>
        <v>Medium</v>
      </c>
      <c r="O106">
        <f t="shared" si="9"/>
        <v>0.25</v>
      </c>
    </row>
    <row r="107" spans="1:15" x14ac:dyDescent="0.3">
      <c r="A107">
        <v>10106</v>
      </c>
      <c r="B107" s="1">
        <v>45397</v>
      </c>
      <c r="C107" t="s">
        <v>21</v>
      </c>
      <c r="D107" t="s">
        <v>126</v>
      </c>
      <c r="E107" t="s">
        <v>11</v>
      </c>
      <c r="F107" t="s">
        <v>12</v>
      </c>
      <c r="G107">
        <v>4</v>
      </c>
      <c r="H107">
        <v>10.99</v>
      </c>
      <c r="I107">
        <v>43.96</v>
      </c>
      <c r="J107">
        <f t="shared" si="5"/>
        <v>10.99</v>
      </c>
      <c r="L107" t="str">
        <f t="shared" si="6"/>
        <v>Apr</v>
      </c>
      <c r="M107">
        <f t="shared" si="7"/>
        <v>2024</v>
      </c>
      <c r="N107" t="str">
        <f t="shared" si="8"/>
        <v>Low</v>
      </c>
      <c r="O107">
        <f t="shared" si="9"/>
        <v>0.25</v>
      </c>
    </row>
    <row r="108" spans="1:15" x14ac:dyDescent="0.3">
      <c r="A108">
        <v>10107</v>
      </c>
      <c r="B108" s="1">
        <v>45398</v>
      </c>
      <c r="C108" t="s">
        <v>23</v>
      </c>
      <c r="D108" t="s">
        <v>127</v>
      </c>
      <c r="E108" t="s">
        <v>15</v>
      </c>
      <c r="F108" t="s">
        <v>16</v>
      </c>
      <c r="G108">
        <v>1</v>
      </c>
      <c r="H108">
        <v>6.5</v>
      </c>
      <c r="I108">
        <v>6.5</v>
      </c>
      <c r="J108">
        <f t="shared" si="5"/>
        <v>1.625</v>
      </c>
      <c r="L108" t="str">
        <f t="shared" si="6"/>
        <v>Apr</v>
      </c>
      <c r="M108">
        <f t="shared" si="7"/>
        <v>2024</v>
      </c>
      <c r="N108" t="str">
        <f t="shared" si="8"/>
        <v>Low</v>
      </c>
      <c r="O108">
        <f t="shared" si="9"/>
        <v>0.25</v>
      </c>
    </row>
    <row r="109" spans="1:15" x14ac:dyDescent="0.3">
      <c r="A109">
        <v>10108</v>
      </c>
      <c r="B109" s="1">
        <v>45399</v>
      </c>
      <c r="C109" t="s">
        <v>25</v>
      </c>
      <c r="D109" t="s">
        <v>128</v>
      </c>
      <c r="E109" t="s">
        <v>19</v>
      </c>
      <c r="F109" t="s">
        <v>12</v>
      </c>
      <c r="G109">
        <v>1</v>
      </c>
      <c r="H109">
        <v>399.99</v>
      </c>
      <c r="I109">
        <v>399.99</v>
      </c>
      <c r="J109">
        <f t="shared" si="5"/>
        <v>99.997500000000002</v>
      </c>
      <c r="L109" t="str">
        <f t="shared" si="6"/>
        <v>Apr</v>
      </c>
      <c r="M109">
        <f t="shared" si="7"/>
        <v>2024</v>
      </c>
      <c r="N109" t="str">
        <f t="shared" si="8"/>
        <v>Medium</v>
      </c>
      <c r="O109">
        <f t="shared" si="9"/>
        <v>0.25</v>
      </c>
    </row>
    <row r="110" spans="1:15" x14ac:dyDescent="0.3">
      <c r="A110">
        <v>10109</v>
      </c>
      <c r="B110" s="1">
        <v>45400</v>
      </c>
      <c r="C110" t="s">
        <v>9</v>
      </c>
      <c r="D110" t="s">
        <v>129</v>
      </c>
      <c r="E110" t="s">
        <v>11</v>
      </c>
      <c r="F110" t="s">
        <v>12</v>
      </c>
      <c r="G110">
        <v>2</v>
      </c>
      <c r="H110">
        <v>229.99</v>
      </c>
      <c r="I110">
        <v>459.98</v>
      </c>
      <c r="J110">
        <f t="shared" si="5"/>
        <v>114.995</v>
      </c>
      <c r="L110" t="str">
        <f t="shared" si="6"/>
        <v>Apr</v>
      </c>
      <c r="M110">
        <f t="shared" si="7"/>
        <v>2024</v>
      </c>
      <c r="N110" t="str">
        <f t="shared" si="8"/>
        <v>Medium</v>
      </c>
      <c r="O110">
        <f t="shared" si="9"/>
        <v>0.25</v>
      </c>
    </row>
    <row r="111" spans="1:15" x14ac:dyDescent="0.3">
      <c r="A111">
        <v>10110</v>
      </c>
      <c r="B111" s="1">
        <v>45401</v>
      </c>
      <c r="C111" t="s">
        <v>13</v>
      </c>
      <c r="D111" t="s">
        <v>130</v>
      </c>
      <c r="E111" t="s">
        <v>15</v>
      </c>
      <c r="F111" t="s">
        <v>16</v>
      </c>
      <c r="G111">
        <v>1</v>
      </c>
      <c r="H111">
        <v>159.99</v>
      </c>
      <c r="I111">
        <v>159.99</v>
      </c>
      <c r="J111">
        <f t="shared" si="5"/>
        <v>39.997500000000002</v>
      </c>
      <c r="L111" t="str">
        <f t="shared" si="6"/>
        <v>Apr</v>
      </c>
      <c r="M111">
        <f t="shared" si="7"/>
        <v>2024</v>
      </c>
      <c r="N111" t="str">
        <f t="shared" si="8"/>
        <v>Medium</v>
      </c>
      <c r="O111">
        <f t="shared" si="9"/>
        <v>0.25</v>
      </c>
    </row>
    <row r="112" spans="1:15" x14ac:dyDescent="0.3">
      <c r="A112">
        <v>10111</v>
      </c>
      <c r="B112" s="1">
        <v>45402</v>
      </c>
      <c r="C112" t="s">
        <v>17</v>
      </c>
      <c r="D112" t="s">
        <v>131</v>
      </c>
      <c r="E112" t="s">
        <v>19</v>
      </c>
      <c r="F112" t="s">
        <v>20</v>
      </c>
      <c r="G112">
        <v>4</v>
      </c>
      <c r="H112">
        <v>14.99</v>
      </c>
      <c r="I112">
        <v>59.96</v>
      </c>
      <c r="J112">
        <f t="shared" si="5"/>
        <v>14.99</v>
      </c>
      <c r="L112" t="str">
        <f t="shared" si="6"/>
        <v>Apr</v>
      </c>
      <c r="M112">
        <f t="shared" si="7"/>
        <v>2024</v>
      </c>
      <c r="N112" t="str">
        <f t="shared" si="8"/>
        <v>Low</v>
      </c>
      <c r="O112">
        <f t="shared" si="9"/>
        <v>0.25</v>
      </c>
    </row>
    <row r="113" spans="1:15" x14ac:dyDescent="0.3">
      <c r="A113">
        <v>10112</v>
      </c>
      <c r="B113" s="1">
        <v>45403</v>
      </c>
      <c r="C113" t="s">
        <v>21</v>
      </c>
      <c r="D113" t="s">
        <v>132</v>
      </c>
      <c r="E113" t="s">
        <v>11</v>
      </c>
      <c r="F113" t="s">
        <v>12</v>
      </c>
      <c r="G113">
        <v>2</v>
      </c>
      <c r="H113">
        <v>18.989999999999998</v>
      </c>
      <c r="I113">
        <v>37.979999999999997</v>
      </c>
      <c r="J113">
        <f t="shared" si="5"/>
        <v>9.4949999999999992</v>
      </c>
      <c r="L113" t="str">
        <f t="shared" si="6"/>
        <v>Apr</v>
      </c>
      <c r="M113">
        <f t="shared" si="7"/>
        <v>2024</v>
      </c>
      <c r="N113" t="str">
        <f t="shared" si="8"/>
        <v>Low</v>
      </c>
      <c r="O113">
        <f t="shared" si="9"/>
        <v>0.25</v>
      </c>
    </row>
    <row r="114" spans="1:15" x14ac:dyDescent="0.3">
      <c r="A114">
        <v>10113</v>
      </c>
      <c r="B114" s="1">
        <v>45404</v>
      </c>
      <c r="C114" t="s">
        <v>23</v>
      </c>
      <c r="D114" t="s">
        <v>133</v>
      </c>
      <c r="E114" t="s">
        <v>15</v>
      </c>
      <c r="F114" t="s">
        <v>16</v>
      </c>
      <c r="G114">
        <v>1</v>
      </c>
      <c r="H114">
        <v>15</v>
      </c>
      <c r="I114">
        <v>15</v>
      </c>
      <c r="J114">
        <f t="shared" si="5"/>
        <v>3.75</v>
      </c>
      <c r="L114" t="str">
        <f t="shared" si="6"/>
        <v>Apr</v>
      </c>
      <c r="M114">
        <f t="shared" si="7"/>
        <v>2024</v>
      </c>
      <c r="N114" t="str">
        <f t="shared" si="8"/>
        <v>Low</v>
      </c>
      <c r="O114">
        <f t="shared" si="9"/>
        <v>0.25</v>
      </c>
    </row>
    <row r="115" spans="1:15" x14ac:dyDescent="0.3">
      <c r="A115">
        <v>10114</v>
      </c>
      <c r="B115" s="1">
        <v>45405</v>
      </c>
      <c r="C115" t="s">
        <v>25</v>
      </c>
      <c r="D115" t="s">
        <v>134</v>
      </c>
      <c r="E115" t="s">
        <v>19</v>
      </c>
      <c r="F115" t="s">
        <v>12</v>
      </c>
      <c r="G115">
        <v>3</v>
      </c>
      <c r="H115">
        <v>229.95</v>
      </c>
      <c r="I115">
        <v>689.85</v>
      </c>
      <c r="J115">
        <f t="shared" si="5"/>
        <v>172.46250000000001</v>
      </c>
      <c r="L115" t="str">
        <f t="shared" si="6"/>
        <v>Apr</v>
      </c>
      <c r="M115">
        <f t="shared" si="7"/>
        <v>2024</v>
      </c>
      <c r="N115" t="str">
        <f t="shared" si="8"/>
        <v>High</v>
      </c>
      <c r="O115">
        <f t="shared" si="9"/>
        <v>0.25</v>
      </c>
    </row>
    <row r="116" spans="1:15" x14ac:dyDescent="0.3">
      <c r="A116">
        <v>10115</v>
      </c>
      <c r="B116" s="1">
        <v>45406</v>
      </c>
      <c r="C116" t="s">
        <v>9</v>
      </c>
      <c r="D116" t="s">
        <v>135</v>
      </c>
      <c r="E116" t="s">
        <v>11</v>
      </c>
      <c r="F116" t="s">
        <v>12</v>
      </c>
      <c r="G116">
        <v>1</v>
      </c>
      <c r="H116">
        <v>249.99</v>
      </c>
      <c r="I116">
        <v>249.99</v>
      </c>
      <c r="J116">
        <f t="shared" si="5"/>
        <v>62.497500000000002</v>
      </c>
      <c r="L116" t="str">
        <f t="shared" si="6"/>
        <v>Apr</v>
      </c>
      <c r="M116">
        <f t="shared" si="7"/>
        <v>2024</v>
      </c>
      <c r="N116" t="str">
        <f t="shared" si="8"/>
        <v>Medium</v>
      </c>
      <c r="O116">
        <f t="shared" si="9"/>
        <v>0.25</v>
      </c>
    </row>
    <row r="117" spans="1:15" x14ac:dyDescent="0.3">
      <c r="A117">
        <v>10116</v>
      </c>
      <c r="B117" s="1">
        <v>45407</v>
      </c>
      <c r="C117" t="s">
        <v>13</v>
      </c>
      <c r="D117" t="s">
        <v>136</v>
      </c>
      <c r="E117" t="s">
        <v>15</v>
      </c>
      <c r="F117" t="s">
        <v>16</v>
      </c>
      <c r="G117">
        <v>2</v>
      </c>
      <c r="H117">
        <v>299.95</v>
      </c>
      <c r="I117">
        <v>599.9</v>
      </c>
      <c r="J117">
        <f t="shared" si="5"/>
        <v>149.97499999999999</v>
      </c>
      <c r="L117" t="str">
        <f t="shared" si="6"/>
        <v>Apr</v>
      </c>
      <c r="M117">
        <f t="shared" si="7"/>
        <v>2024</v>
      </c>
      <c r="N117" t="str">
        <f t="shared" si="8"/>
        <v>High</v>
      </c>
      <c r="O117">
        <f t="shared" si="9"/>
        <v>0.25</v>
      </c>
    </row>
    <row r="118" spans="1:15" x14ac:dyDescent="0.3">
      <c r="A118">
        <v>10117</v>
      </c>
      <c r="B118" s="1">
        <v>45408</v>
      </c>
      <c r="C118" t="s">
        <v>17</v>
      </c>
      <c r="D118" t="s">
        <v>137</v>
      </c>
      <c r="E118" t="s">
        <v>19</v>
      </c>
      <c r="F118" t="s">
        <v>20</v>
      </c>
      <c r="G118">
        <v>3</v>
      </c>
      <c r="H118">
        <v>49.99</v>
      </c>
      <c r="I118">
        <v>149.97</v>
      </c>
      <c r="J118">
        <f t="shared" si="5"/>
        <v>37.4925</v>
      </c>
      <c r="L118" t="str">
        <f t="shared" si="6"/>
        <v>Apr</v>
      </c>
      <c r="M118">
        <f t="shared" si="7"/>
        <v>2024</v>
      </c>
      <c r="N118" t="str">
        <f t="shared" si="8"/>
        <v>Medium</v>
      </c>
      <c r="O118">
        <f t="shared" si="9"/>
        <v>0.25</v>
      </c>
    </row>
    <row r="119" spans="1:15" x14ac:dyDescent="0.3">
      <c r="A119">
        <v>10118</v>
      </c>
      <c r="B119" s="1">
        <v>45409</v>
      </c>
      <c r="C119" t="s">
        <v>21</v>
      </c>
      <c r="D119" t="s">
        <v>138</v>
      </c>
      <c r="E119" t="s">
        <v>11</v>
      </c>
      <c r="F119" t="s">
        <v>12</v>
      </c>
      <c r="G119">
        <v>4</v>
      </c>
      <c r="H119">
        <v>16.989999999999998</v>
      </c>
      <c r="I119">
        <v>67.959999999999994</v>
      </c>
      <c r="J119">
        <f t="shared" si="5"/>
        <v>16.989999999999998</v>
      </c>
      <c r="L119" t="str">
        <f t="shared" si="6"/>
        <v>Apr</v>
      </c>
      <c r="M119">
        <f t="shared" si="7"/>
        <v>2024</v>
      </c>
      <c r="N119" t="str">
        <f t="shared" si="8"/>
        <v>Low</v>
      </c>
      <c r="O119">
        <f t="shared" si="9"/>
        <v>0.25</v>
      </c>
    </row>
    <row r="120" spans="1:15" x14ac:dyDescent="0.3">
      <c r="A120">
        <v>10119</v>
      </c>
      <c r="B120" s="1">
        <v>45410</v>
      </c>
      <c r="C120" t="s">
        <v>23</v>
      </c>
      <c r="D120" t="s">
        <v>139</v>
      </c>
      <c r="E120" t="s">
        <v>15</v>
      </c>
      <c r="F120" t="s">
        <v>16</v>
      </c>
      <c r="G120">
        <v>2</v>
      </c>
      <c r="H120">
        <v>14.99</v>
      </c>
      <c r="I120">
        <v>29.98</v>
      </c>
      <c r="J120">
        <f t="shared" si="5"/>
        <v>7.4950000000000001</v>
      </c>
      <c r="L120" t="str">
        <f t="shared" si="6"/>
        <v>Apr</v>
      </c>
      <c r="M120">
        <f t="shared" si="7"/>
        <v>2024</v>
      </c>
      <c r="N120" t="str">
        <f t="shared" si="8"/>
        <v>Low</v>
      </c>
      <c r="O120">
        <f t="shared" si="9"/>
        <v>0.25</v>
      </c>
    </row>
    <row r="121" spans="1:15" x14ac:dyDescent="0.3">
      <c r="A121">
        <v>10120</v>
      </c>
      <c r="B121" s="1">
        <v>45411</v>
      </c>
      <c r="C121" t="s">
        <v>25</v>
      </c>
      <c r="D121" t="s">
        <v>140</v>
      </c>
      <c r="E121" t="s">
        <v>19</v>
      </c>
      <c r="F121" t="s">
        <v>12</v>
      </c>
      <c r="G121">
        <v>1</v>
      </c>
      <c r="H121">
        <v>249.99</v>
      </c>
      <c r="I121">
        <v>249.99</v>
      </c>
      <c r="J121">
        <f t="shared" si="5"/>
        <v>62.497500000000002</v>
      </c>
      <c r="L121" t="str">
        <f t="shared" si="6"/>
        <v>Apr</v>
      </c>
      <c r="M121">
        <f t="shared" si="7"/>
        <v>2024</v>
      </c>
      <c r="N121" t="str">
        <f t="shared" si="8"/>
        <v>Medium</v>
      </c>
      <c r="O121">
        <f t="shared" si="9"/>
        <v>0.25</v>
      </c>
    </row>
    <row r="122" spans="1:15" x14ac:dyDescent="0.3">
      <c r="A122">
        <v>10121</v>
      </c>
      <c r="B122" s="1">
        <v>45412</v>
      </c>
      <c r="C122" t="s">
        <v>9</v>
      </c>
      <c r="D122" t="s">
        <v>141</v>
      </c>
      <c r="E122" t="s">
        <v>11</v>
      </c>
      <c r="F122" t="s">
        <v>12</v>
      </c>
      <c r="G122">
        <v>2</v>
      </c>
      <c r="H122">
        <v>599.99</v>
      </c>
      <c r="I122">
        <v>1199.98</v>
      </c>
      <c r="J122">
        <f t="shared" si="5"/>
        <v>299.995</v>
      </c>
      <c r="L122" t="str">
        <f t="shared" si="6"/>
        <v>Apr</v>
      </c>
      <c r="M122">
        <f t="shared" si="7"/>
        <v>2024</v>
      </c>
      <c r="N122" t="str">
        <f t="shared" si="8"/>
        <v>High</v>
      </c>
      <c r="O122">
        <f t="shared" si="9"/>
        <v>0.25</v>
      </c>
    </row>
    <row r="123" spans="1:15" x14ac:dyDescent="0.3">
      <c r="A123">
        <v>10122</v>
      </c>
      <c r="B123" s="1">
        <v>45413</v>
      </c>
      <c r="C123" t="s">
        <v>13</v>
      </c>
      <c r="D123" t="s">
        <v>142</v>
      </c>
      <c r="E123" t="s">
        <v>15</v>
      </c>
      <c r="F123" t="s">
        <v>16</v>
      </c>
      <c r="G123">
        <v>1</v>
      </c>
      <c r="H123">
        <v>89.99</v>
      </c>
      <c r="I123">
        <v>89.99</v>
      </c>
      <c r="J123">
        <f t="shared" si="5"/>
        <v>22.497499999999999</v>
      </c>
      <c r="L123" t="str">
        <f t="shared" si="6"/>
        <v>May</v>
      </c>
      <c r="M123">
        <f t="shared" si="7"/>
        <v>2024</v>
      </c>
      <c r="N123" t="str">
        <f t="shared" si="8"/>
        <v>Low</v>
      </c>
      <c r="O123">
        <f t="shared" si="9"/>
        <v>0.25</v>
      </c>
    </row>
    <row r="124" spans="1:15" x14ac:dyDescent="0.3">
      <c r="A124">
        <v>10123</v>
      </c>
      <c r="B124" s="1">
        <v>45414</v>
      </c>
      <c r="C124" t="s">
        <v>17</v>
      </c>
      <c r="D124" t="s">
        <v>143</v>
      </c>
      <c r="E124" t="s">
        <v>19</v>
      </c>
      <c r="F124" t="s">
        <v>20</v>
      </c>
      <c r="G124">
        <v>5</v>
      </c>
      <c r="H124">
        <v>12.99</v>
      </c>
      <c r="I124">
        <v>64.95</v>
      </c>
      <c r="J124">
        <f t="shared" si="5"/>
        <v>16.237500000000001</v>
      </c>
      <c r="L124" t="str">
        <f t="shared" si="6"/>
        <v>May</v>
      </c>
      <c r="M124">
        <f t="shared" si="7"/>
        <v>2024</v>
      </c>
      <c r="N124" t="str">
        <f t="shared" si="8"/>
        <v>Low</v>
      </c>
      <c r="O124">
        <f t="shared" si="9"/>
        <v>0.25</v>
      </c>
    </row>
    <row r="125" spans="1:15" x14ac:dyDescent="0.3">
      <c r="A125">
        <v>10124</v>
      </c>
      <c r="B125" s="1">
        <v>45415</v>
      </c>
      <c r="C125" t="s">
        <v>21</v>
      </c>
      <c r="D125" t="s">
        <v>144</v>
      </c>
      <c r="E125" t="s">
        <v>11</v>
      </c>
      <c r="F125" t="s">
        <v>12</v>
      </c>
      <c r="G125">
        <v>3</v>
      </c>
      <c r="H125">
        <v>14.99</v>
      </c>
      <c r="I125">
        <v>44.97</v>
      </c>
      <c r="J125">
        <f t="shared" si="5"/>
        <v>11.2425</v>
      </c>
      <c r="L125" t="str">
        <f t="shared" si="6"/>
        <v>May</v>
      </c>
      <c r="M125">
        <f t="shared" si="7"/>
        <v>2024</v>
      </c>
      <c r="N125" t="str">
        <f t="shared" si="8"/>
        <v>Low</v>
      </c>
      <c r="O125">
        <f t="shared" si="9"/>
        <v>0.25</v>
      </c>
    </row>
    <row r="126" spans="1:15" x14ac:dyDescent="0.3">
      <c r="A126">
        <v>10125</v>
      </c>
      <c r="B126" s="1">
        <v>45416</v>
      </c>
      <c r="C126" t="s">
        <v>23</v>
      </c>
      <c r="D126" t="s">
        <v>145</v>
      </c>
      <c r="E126" t="s">
        <v>15</v>
      </c>
      <c r="F126" t="s">
        <v>16</v>
      </c>
      <c r="G126">
        <v>1</v>
      </c>
      <c r="H126">
        <v>30</v>
      </c>
      <c r="I126">
        <v>30</v>
      </c>
      <c r="J126">
        <f t="shared" si="5"/>
        <v>7.5</v>
      </c>
      <c r="L126" t="str">
        <f t="shared" si="6"/>
        <v>May</v>
      </c>
      <c r="M126">
        <f t="shared" si="7"/>
        <v>2024</v>
      </c>
      <c r="N126" t="str">
        <f t="shared" si="8"/>
        <v>Low</v>
      </c>
      <c r="O126">
        <f t="shared" si="9"/>
        <v>0.25</v>
      </c>
    </row>
    <row r="127" spans="1:15" x14ac:dyDescent="0.3">
      <c r="A127">
        <v>10126</v>
      </c>
      <c r="B127" s="1">
        <v>45417</v>
      </c>
      <c r="C127" t="s">
        <v>25</v>
      </c>
      <c r="D127" t="s">
        <v>146</v>
      </c>
      <c r="E127" t="s">
        <v>19</v>
      </c>
      <c r="F127" t="s">
        <v>12</v>
      </c>
      <c r="G127">
        <v>1</v>
      </c>
      <c r="H127">
        <v>199.99</v>
      </c>
      <c r="I127">
        <v>199.99</v>
      </c>
      <c r="J127">
        <f t="shared" si="5"/>
        <v>49.997500000000002</v>
      </c>
      <c r="L127" t="str">
        <f t="shared" si="6"/>
        <v>May</v>
      </c>
      <c r="M127">
        <f t="shared" si="7"/>
        <v>2024</v>
      </c>
      <c r="N127" t="str">
        <f t="shared" si="8"/>
        <v>Medium</v>
      </c>
      <c r="O127">
        <f t="shared" si="9"/>
        <v>0.25</v>
      </c>
    </row>
    <row r="128" spans="1:15" x14ac:dyDescent="0.3">
      <c r="A128">
        <v>10127</v>
      </c>
      <c r="B128" s="1">
        <v>45418</v>
      </c>
      <c r="C128" t="s">
        <v>9</v>
      </c>
      <c r="D128" t="s">
        <v>147</v>
      </c>
      <c r="E128" t="s">
        <v>11</v>
      </c>
      <c r="F128" t="s">
        <v>12</v>
      </c>
      <c r="G128">
        <v>1</v>
      </c>
      <c r="H128">
        <v>499.99</v>
      </c>
      <c r="I128">
        <v>499.99</v>
      </c>
      <c r="J128">
        <f t="shared" si="5"/>
        <v>124.9975</v>
      </c>
      <c r="L128" t="str">
        <f t="shared" si="6"/>
        <v>May</v>
      </c>
      <c r="M128">
        <f t="shared" si="7"/>
        <v>2024</v>
      </c>
      <c r="N128" t="str">
        <f t="shared" si="8"/>
        <v>Medium</v>
      </c>
      <c r="O128">
        <f t="shared" si="9"/>
        <v>0.25</v>
      </c>
    </row>
    <row r="129" spans="1:15" x14ac:dyDescent="0.3">
      <c r="A129">
        <v>10128</v>
      </c>
      <c r="B129" s="1">
        <v>45419</v>
      </c>
      <c r="C129" t="s">
        <v>13</v>
      </c>
      <c r="D129" t="s">
        <v>37</v>
      </c>
      <c r="E129" t="s">
        <v>15</v>
      </c>
      <c r="F129" t="s">
        <v>16</v>
      </c>
      <c r="G129">
        <v>2</v>
      </c>
      <c r="H129">
        <v>399.99</v>
      </c>
      <c r="I129">
        <v>799.98</v>
      </c>
      <c r="J129">
        <f t="shared" si="5"/>
        <v>199.995</v>
      </c>
      <c r="L129" t="str">
        <f t="shared" si="6"/>
        <v>May</v>
      </c>
      <c r="M129">
        <f t="shared" si="7"/>
        <v>2024</v>
      </c>
      <c r="N129" t="str">
        <f t="shared" si="8"/>
        <v>High</v>
      </c>
      <c r="O129">
        <f t="shared" si="9"/>
        <v>0.25</v>
      </c>
    </row>
    <row r="130" spans="1:15" x14ac:dyDescent="0.3">
      <c r="A130">
        <v>10129</v>
      </c>
      <c r="B130" s="1">
        <v>45420</v>
      </c>
      <c r="C130" t="s">
        <v>17</v>
      </c>
      <c r="D130" t="s">
        <v>148</v>
      </c>
      <c r="E130" t="s">
        <v>19</v>
      </c>
      <c r="F130" t="s">
        <v>20</v>
      </c>
      <c r="G130">
        <v>3</v>
      </c>
      <c r="H130">
        <v>98</v>
      </c>
      <c r="I130">
        <v>294</v>
      </c>
      <c r="J130">
        <f t="shared" si="5"/>
        <v>73.5</v>
      </c>
      <c r="L130" t="str">
        <f t="shared" si="6"/>
        <v>May</v>
      </c>
      <c r="M130">
        <f t="shared" si="7"/>
        <v>2024</v>
      </c>
      <c r="N130" t="str">
        <f t="shared" si="8"/>
        <v>Medium</v>
      </c>
      <c r="O130">
        <f t="shared" si="9"/>
        <v>0.25</v>
      </c>
    </row>
    <row r="131" spans="1:15" x14ac:dyDescent="0.3">
      <c r="A131">
        <v>10130</v>
      </c>
      <c r="B131" s="1">
        <v>45421</v>
      </c>
      <c r="C131" t="s">
        <v>21</v>
      </c>
      <c r="D131" t="s">
        <v>149</v>
      </c>
      <c r="E131" t="s">
        <v>11</v>
      </c>
      <c r="F131" t="s">
        <v>12</v>
      </c>
      <c r="G131">
        <v>2</v>
      </c>
      <c r="H131">
        <v>8.99</v>
      </c>
      <c r="I131">
        <v>17.98</v>
      </c>
      <c r="J131">
        <f t="shared" ref="J131:J194" si="10">I131*0.25</f>
        <v>4.4950000000000001</v>
      </c>
      <c r="L131" t="str">
        <f t="shared" ref="L131:L194" si="11">TEXT(B:B,"mmm")</f>
        <v>May</v>
      </c>
      <c r="M131">
        <f t="shared" ref="M131:M194" si="12">YEAR(B:B)</f>
        <v>2024</v>
      </c>
      <c r="N131" t="str">
        <f t="shared" ref="N131:N194" si="13">IF(I131&lt;100,"Low",IF(I131&lt;500,"Medium","High"))</f>
        <v>Low</v>
      </c>
      <c r="O131">
        <f t="shared" ref="O131:O194" si="14">J131/I131</f>
        <v>0.25</v>
      </c>
    </row>
    <row r="132" spans="1:15" x14ac:dyDescent="0.3">
      <c r="A132">
        <v>10131</v>
      </c>
      <c r="B132" s="1">
        <v>45422</v>
      </c>
      <c r="C132" t="s">
        <v>23</v>
      </c>
      <c r="D132" t="s">
        <v>150</v>
      </c>
      <c r="E132" t="s">
        <v>15</v>
      </c>
      <c r="F132" t="s">
        <v>16</v>
      </c>
      <c r="G132">
        <v>1</v>
      </c>
      <c r="H132">
        <v>36</v>
      </c>
      <c r="I132">
        <v>36</v>
      </c>
      <c r="J132">
        <f t="shared" si="10"/>
        <v>9</v>
      </c>
      <c r="L132" t="str">
        <f t="shared" si="11"/>
        <v>May</v>
      </c>
      <c r="M132">
        <f t="shared" si="12"/>
        <v>2024</v>
      </c>
      <c r="N132" t="str">
        <f t="shared" si="13"/>
        <v>Low</v>
      </c>
      <c r="O132">
        <f t="shared" si="14"/>
        <v>0.25</v>
      </c>
    </row>
    <row r="133" spans="1:15" x14ac:dyDescent="0.3">
      <c r="A133">
        <v>10132</v>
      </c>
      <c r="B133" s="1">
        <v>45423</v>
      </c>
      <c r="C133" t="s">
        <v>25</v>
      </c>
      <c r="D133" t="s">
        <v>151</v>
      </c>
      <c r="E133" t="s">
        <v>19</v>
      </c>
      <c r="F133" t="s">
        <v>12</v>
      </c>
      <c r="G133">
        <v>4</v>
      </c>
      <c r="H133">
        <v>39.950000000000003</v>
      </c>
      <c r="I133">
        <v>159.80000000000001</v>
      </c>
      <c r="J133">
        <f t="shared" si="10"/>
        <v>39.950000000000003</v>
      </c>
      <c r="L133" t="str">
        <f t="shared" si="11"/>
        <v>May</v>
      </c>
      <c r="M133">
        <f t="shared" si="12"/>
        <v>2024</v>
      </c>
      <c r="N133" t="str">
        <f t="shared" si="13"/>
        <v>Medium</v>
      </c>
      <c r="O133">
        <f t="shared" si="14"/>
        <v>0.25</v>
      </c>
    </row>
    <row r="134" spans="1:15" x14ac:dyDescent="0.3">
      <c r="A134">
        <v>10133</v>
      </c>
      <c r="B134" s="1">
        <v>45424</v>
      </c>
      <c r="C134" t="s">
        <v>9</v>
      </c>
      <c r="D134" t="s">
        <v>152</v>
      </c>
      <c r="E134" t="s">
        <v>11</v>
      </c>
      <c r="F134" t="s">
        <v>12</v>
      </c>
      <c r="G134">
        <v>1</v>
      </c>
      <c r="H134">
        <v>1299.99</v>
      </c>
      <c r="I134">
        <v>1299.99</v>
      </c>
      <c r="J134">
        <f t="shared" si="10"/>
        <v>324.9975</v>
      </c>
      <c r="L134" t="str">
        <f t="shared" si="11"/>
        <v>May</v>
      </c>
      <c r="M134">
        <f t="shared" si="12"/>
        <v>2024</v>
      </c>
      <c r="N134" t="str">
        <f t="shared" si="13"/>
        <v>High</v>
      </c>
      <c r="O134">
        <f t="shared" si="14"/>
        <v>0.25</v>
      </c>
    </row>
    <row r="135" spans="1:15" x14ac:dyDescent="0.3">
      <c r="A135">
        <v>10134</v>
      </c>
      <c r="B135" s="1">
        <v>45425</v>
      </c>
      <c r="C135" t="s">
        <v>13</v>
      </c>
      <c r="D135" t="s">
        <v>153</v>
      </c>
      <c r="E135" t="s">
        <v>15</v>
      </c>
      <c r="F135" t="s">
        <v>16</v>
      </c>
      <c r="G135">
        <v>2</v>
      </c>
      <c r="H135">
        <v>79.989999999999995</v>
      </c>
      <c r="I135">
        <v>159.97999999999999</v>
      </c>
      <c r="J135">
        <f t="shared" si="10"/>
        <v>39.994999999999997</v>
      </c>
      <c r="L135" t="str">
        <f t="shared" si="11"/>
        <v>May</v>
      </c>
      <c r="M135">
        <f t="shared" si="12"/>
        <v>2024</v>
      </c>
      <c r="N135" t="str">
        <f t="shared" si="13"/>
        <v>Medium</v>
      </c>
      <c r="O135">
        <f t="shared" si="14"/>
        <v>0.25</v>
      </c>
    </row>
    <row r="136" spans="1:15" x14ac:dyDescent="0.3">
      <c r="A136">
        <v>10135</v>
      </c>
      <c r="B136" s="1">
        <v>45426</v>
      </c>
      <c r="C136" t="s">
        <v>17</v>
      </c>
      <c r="D136" t="s">
        <v>154</v>
      </c>
      <c r="E136" t="s">
        <v>19</v>
      </c>
      <c r="F136" t="s">
        <v>20</v>
      </c>
      <c r="G136">
        <v>4</v>
      </c>
      <c r="H136">
        <v>34.99</v>
      </c>
      <c r="I136">
        <v>139.96</v>
      </c>
      <c r="J136">
        <f t="shared" si="10"/>
        <v>34.99</v>
      </c>
      <c r="L136" t="str">
        <f t="shared" si="11"/>
        <v>May</v>
      </c>
      <c r="M136">
        <f t="shared" si="12"/>
        <v>2024</v>
      </c>
      <c r="N136" t="str">
        <f t="shared" si="13"/>
        <v>Medium</v>
      </c>
      <c r="O136">
        <f t="shared" si="14"/>
        <v>0.25</v>
      </c>
    </row>
    <row r="137" spans="1:15" x14ac:dyDescent="0.3">
      <c r="A137">
        <v>10136</v>
      </c>
      <c r="B137" s="1">
        <v>45427</v>
      </c>
      <c r="C137" t="s">
        <v>21</v>
      </c>
      <c r="D137" t="s">
        <v>155</v>
      </c>
      <c r="E137" t="s">
        <v>11</v>
      </c>
      <c r="F137" t="s">
        <v>12</v>
      </c>
      <c r="G137">
        <v>3</v>
      </c>
      <c r="H137">
        <v>9.99</v>
      </c>
      <c r="I137">
        <v>29.97</v>
      </c>
      <c r="J137">
        <f t="shared" si="10"/>
        <v>7.4924999999999997</v>
      </c>
      <c r="L137" t="str">
        <f t="shared" si="11"/>
        <v>May</v>
      </c>
      <c r="M137">
        <f t="shared" si="12"/>
        <v>2024</v>
      </c>
      <c r="N137" t="str">
        <f t="shared" si="13"/>
        <v>Low</v>
      </c>
      <c r="O137">
        <f t="shared" si="14"/>
        <v>0.25</v>
      </c>
    </row>
    <row r="138" spans="1:15" x14ac:dyDescent="0.3">
      <c r="A138">
        <v>10137</v>
      </c>
      <c r="B138" s="1">
        <v>45428</v>
      </c>
      <c r="C138" t="s">
        <v>23</v>
      </c>
      <c r="D138" t="s">
        <v>156</v>
      </c>
      <c r="E138" t="s">
        <v>15</v>
      </c>
      <c r="F138" t="s">
        <v>16</v>
      </c>
      <c r="G138">
        <v>1</v>
      </c>
      <c r="H138">
        <v>6.8</v>
      </c>
      <c r="I138">
        <v>6.8</v>
      </c>
      <c r="J138">
        <f t="shared" si="10"/>
        <v>1.7</v>
      </c>
      <c r="L138" t="str">
        <f t="shared" si="11"/>
        <v>May</v>
      </c>
      <c r="M138">
        <f t="shared" si="12"/>
        <v>2024</v>
      </c>
      <c r="N138" t="str">
        <f t="shared" si="13"/>
        <v>Low</v>
      </c>
      <c r="O138">
        <f t="shared" si="14"/>
        <v>0.25</v>
      </c>
    </row>
    <row r="139" spans="1:15" x14ac:dyDescent="0.3">
      <c r="A139">
        <v>10138</v>
      </c>
      <c r="B139" s="1">
        <v>45429</v>
      </c>
      <c r="C139" t="s">
        <v>25</v>
      </c>
      <c r="D139" t="s">
        <v>157</v>
      </c>
      <c r="E139" t="s">
        <v>19</v>
      </c>
      <c r="F139" t="s">
        <v>12</v>
      </c>
      <c r="G139">
        <v>2</v>
      </c>
      <c r="H139">
        <v>99.95</v>
      </c>
      <c r="I139">
        <v>199.9</v>
      </c>
      <c r="J139">
        <f t="shared" si="10"/>
        <v>49.975000000000001</v>
      </c>
      <c r="L139" t="str">
        <f t="shared" si="11"/>
        <v>May</v>
      </c>
      <c r="M139">
        <f t="shared" si="12"/>
        <v>2024</v>
      </c>
      <c r="N139" t="str">
        <f t="shared" si="13"/>
        <v>Medium</v>
      </c>
      <c r="O139">
        <f t="shared" si="14"/>
        <v>0.25</v>
      </c>
    </row>
    <row r="140" spans="1:15" x14ac:dyDescent="0.3">
      <c r="A140">
        <v>10139</v>
      </c>
      <c r="B140" s="1">
        <v>45430</v>
      </c>
      <c r="C140" t="s">
        <v>9</v>
      </c>
      <c r="D140" t="s">
        <v>158</v>
      </c>
      <c r="E140" t="s">
        <v>11</v>
      </c>
      <c r="F140" t="s">
        <v>12</v>
      </c>
      <c r="G140">
        <v>1</v>
      </c>
      <c r="H140">
        <v>1499.99</v>
      </c>
      <c r="I140">
        <v>1499.99</v>
      </c>
      <c r="J140">
        <f t="shared" si="10"/>
        <v>374.9975</v>
      </c>
      <c r="L140" t="str">
        <f t="shared" si="11"/>
        <v>May</v>
      </c>
      <c r="M140">
        <f t="shared" si="12"/>
        <v>2024</v>
      </c>
      <c r="N140" t="str">
        <f t="shared" si="13"/>
        <v>High</v>
      </c>
      <c r="O140">
        <f t="shared" si="14"/>
        <v>0.25</v>
      </c>
    </row>
    <row r="141" spans="1:15" x14ac:dyDescent="0.3">
      <c r="A141">
        <v>10140</v>
      </c>
      <c r="B141" s="1">
        <v>45431</v>
      </c>
      <c r="C141" t="s">
        <v>13</v>
      </c>
      <c r="D141" t="s">
        <v>159</v>
      </c>
      <c r="E141" t="s">
        <v>15</v>
      </c>
      <c r="F141" t="s">
        <v>16</v>
      </c>
      <c r="G141">
        <v>1</v>
      </c>
      <c r="H141">
        <v>139.99</v>
      </c>
      <c r="I141">
        <v>139.99</v>
      </c>
      <c r="J141">
        <f t="shared" si="10"/>
        <v>34.997500000000002</v>
      </c>
      <c r="L141" t="str">
        <f t="shared" si="11"/>
        <v>May</v>
      </c>
      <c r="M141">
        <f t="shared" si="12"/>
        <v>2024</v>
      </c>
      <c r="N141" t="str">
        <f t="shared" si="13"/>
        <v>Medium</v>
      </c>
      <c r="O141">
        <f t="shared" si="14"/>
        <v>0.25</v>
      </c>
    </row>
    <row r="142" spans="1:15" x14ac:dyDescent="0.3">
      <c r="A142">
        <v>10141</v>
      </c>
      <c r="B142" s="1">
        <v>45432</v>
      </c>
      <c r="C142" t="s">
        <v>17</v>
      </c>
      <c r="D142" t="s">
        <v>160</v>
      </c>
      <c r="E142" t="s">
        <v>19</v>
      </c>
      <c r="F142" t="s">
        <v>20</v>
      </c>
      <c r="G142">
        <v>3</v>
      </c>
      <c r="H142">
        <v>44.99</v>
      </c>
      <c r="I142">
        <v>134.97</v>
      </c>
      <c r="J142">
        <f t="shared" si="10"/>
        <v>33.7425</v>
      </c>
      <c r="L142" t="str">
        <f t="shared" si="11"/>
        <v>May</v>
      </c>
      <c r="M142">
        <f t="shared" si="12"/>
        <v>2024</v>
      </c>
      <c r="N142" t="str">
        <f t="shared" si="13"/>
        <v>Medium</v>
      </c>
      <c r="O142">
        <f t="shared" si="14"/>
        <v>0.25</v>
      </c>
    </row>
    <row r="143" spans="1:15" x14ac:dyDescent="0.3">
      <c r="A143">
        <v>10142</v>
      </c>
      <c r="B143" s="1">
        <v>45433</v>
      </c>
      <c r="C143" t="s">
        <v>21</v>
      </c>
      <c r="D143" t="s">
        <v>161</v>
      </c>
      <c r="E143" t="s">
        <v>11</v>
      </c>
      <c r="F143" t="s">
        <v>12</v>
      </c>
      <c r="G143">
        <v>2</v>
      </c>
      <c r="H143">
        <v>11.99</v>
      </c>
      <c r="I143">
        <v>23.98</v>
      </c>
      <c r="J143">
        <f t="shared" si="10"/>
        <v>5.9950000000000001</v>
      </c>
      <c r="L143" t="str">
        <f t="shared" si="11"/>
        <v>May</v>
      </c>
      <c r="M143">
        <f t="shared" si="12"/>
        <v>2024</v>
      </c>
      <c r="N143" t="str">
        <f t="shared" si="13"/>
        <v>Low</v>
      </c>
      <c r="O143">
        <f t="shared" si="14"/>
        <v>0.25</v>
      </c>
    </row>
    <row r="144" spans="1:15" x14ac:dyDescent="0.3">
      <c r="A144">
        <v>10143</v>
      </c>
      <c r="B144" s="1">
        <v>45434</v>
      </c>
      <c r="C144" t="s">
        <v>23</v>
      </c>
      <c r="D144" t="s">
        <v>162</v>
      </c>
      <c r="E144" t="s">
        <v>15</v>
      </c>
      <c r="F144" t="s">
        <v>16</v>
      </c>
      <c r="G144">
        <v>1</v>
      </c>
      <c r="H144">
        <v>29.5</v>
      </c>
      <c r="I144">
        <v>29.5</v>
      </c>
      <c r="J144">
        <f t="shared" si="10"/>
        <v>7.375</v>
      </c>
      <c r="L144" t="str">
        <f t="shared" si="11"/>
        <v>May</v>
      </c>
      <c r="M144">
        <f t="shared" si="12"/>
        <v>2024</v>
      </c>
      <c r="N144" t="str">
        <f t="shared" si="13"/>
        <v>Low</v>
      </c>
      <c r="O144">
        <f t="shared" si="14"/>
        <v>0.25</v>
      </c>
    </row>
    <row r="145" spans="1:15" x14ac:dyDescent="0.3">
      <c r="A145">
        <v>10144</v>
      </c>
      <c r="B145" s="1">
        <v>45435</v>
      </c>
      <c r="C145" t="s">
        <v>25</v>
      </c>
      <c r="D145" t="s">
        <v>163</v>
      </c>
      <c r="E145" t="s">
        <v>19</v>
      </c>
      <c r="F145" t="s">
        <v>12</v>
      </c>
      <c r="G145">
        <v>1</v>
      </c>
      <c r="H145">
        <v>299.99</v>
      </c>
      <c r="I145">
        <v>299.99</v>
      </c>
      <c r="J145">
        <f t="shared" si="10"/>
        <v>74.997500000000002</v>
      </c>
      <c r="L145" t="str">
        <f t="shared" si="11"/>
        <v>May</v>
      </c>
      <c r="M145">
        <f t="shared" si="12"/>
        <v>2024</v>
      </c>
      <c r="N145" t="str">
        <f t="shared" si="13"/>
        <v>Medium</v>
      </c>
      <c r="O145">
        <f t="shared" si="14"/>
        <v>0.25</v>
      </c>
    </row>
    <row r="146" spans="1:15" x14ac:dyDescent="0.3">
      <c r="A146">
        <v>10145</v>
      </c>
      <c r="B146" s="1">
        <v>45436</v>
      </c>
      <c r="C146" t="s">
        <v>9</v>
      </c>
      <c r="D146" t="s">
        <v>164</v>
      </c>
      <c r="E146" t="s">
        <v>11</v>
      </c>
      <c r="F146" t="s">
        <v>12</v>
      </c>
      <c r="G146">
        <v>1</v>
      </c>
      <c r="H146">
        <v>549</v>
      </c>
      <c r="I146">
        <v>549</v>
      </c>
      <c r="J146">
        <f t="shared" si="10"/>
        <v>137.25</v>
      </c>
      <c r="L146" t="str">
        <f t="shared" si="11"/>
        <v>May</v>
      </c>
      <c r="M146">
        <f t="shared" si="12"/>
        <v>2024</v>
      </c>
      <c r="N146" t="str">
        <f t="shared" si="13"/>
        <v>High</v>
      </c>
      <c r="O146">
        <f t="shared" si="14"/>
        <v>0.25</v>
      </c>
    </row>
    <row r="147" spans="1:15" x14ac:dyDescent="0.3">
      <c r="A147">
        <v>10146</v>
      </c>
      <c r="B147" s="1">
        <v>45437</v>
      </c>
      <c r="C147" t="s">
        <v>13</v>
      </c>
      <c r="D147" t="s">
        <v>165</v>
      </c>
      <c r="E147" t="s">
        <v>15</v>
      </c>
      <c r="F147" t="s">
        <v>16</v>
      </c>
      <c r="G147">
        <v>2</v>
      </c>
      <c r="H147">
        <v>199.95</v>
      </c>
      <c r="I147">
        <v>399.9</v>
      </c>
      <c r="J147">
        <f t="shared" si="10"/>
        <v>99.974999999999994</v>
      </c>
      <c r="L147" t="str">
        <f t="shared" si="11"/>
        <v>May</v>
      </c>
      <c r="M147">
        <f t="shared" si="12"/>
        <v>2024</v>
      </c>
      <c r="N147" t="str">
        <f t="shared" si="13"/>
        <v>Medium</v>
      </c>
      <c r="O147">
        <f t="shared" si="14"/>
        <v>0.25</v>
      </c>
    </row>
    <row r="148" spans="1:15" x14ac:dyDescent="0.3">
      <c r="A148">
        <v>10147</v>
      </c>
      <c r="B148" s="1">
        <v>45438</v>
      </c>
      <c r="C148" t="s">
        <v>17</v>
      </c>
      <c r="D148" t="s">
        <v>166</v>
      </c>
      <c r="E148" t="s">
        <v>19</v>
      </c>
      <c r="F148" t="s">
        <v>20</v>
      </c>
      <c r="G148">
        <v>2</v>
      </c>
      <c r="H148">
        <v>98</v>
      </c>
      <c r="I148">
        <v>196</v>
      </c>
      <c r="J148">
        <f t="shared" si="10"/>
        <v>49</v>
      </c>
      <c r="L148" t="str">
        <f t="shared" si="11"/>
        <v>May</v>
      </c>
      <c r="M148">
        <f t="shared" si="12"/>
        <v>2024</v>
      </c>
      <c r="N148" t="str">
        <f t="shared" si="13"/>
        <v>Medium</v>
      </c>
      <c r="O148">
        <f t="shared" si="14"/>
        <v>0.25</v>
      </c>
    </row>
    <row r="149" spans="1:15" x14ac:dyDescent="0.3">
      <c r="A149">
        <v>10148</v>
      </c>
      <c r="B149" s="1">
        <v>45439</v>
      </c>
      <c r="C149" t="s">
        <v>21</v>
      </c>
      <c r="D149" t="s">
        <v>167</v>
      </c>
      <c r="E149" t="s">
        <v>11</v>
      </c>
      <c r="F149" t="s">
        <v>12</v>
      </c>
      <c r="G149">
        <v>3</v>
      </c>
      <c r="H149">
        <v>10.99</v>
      </c>
      <c r="I149">
        <v>32.97</v>
      </c>
      <c r="J149">
        <f t="shared" si="10"/>
        <v>8.2424999999999997</v>
      </c>
      <c r="L149" t="str">
        <f t="shared" si="11"/>
        <v>May</v>
      </c>
      <c r="M149">
        <f t="shared" si="12"/>
        <v>2024</v>
      </c>
      <c r="N149" t="str">
        <f t="shared" si="13"/>
        <v>Low</v>
      </c>
      <c r="O149">
        <f t="shared" si="14"/>
        <v>0.25</v>
      </c>
    </row>
    <row r="150" spans="1:15" x14ac:dyDescent="0.3">
      <c r="A150">
        <v>10149</v>
      </c>
      <c r="B150" s="1">
        <v>45440</v>
      </c>
      <c r="C150" t="s">
        <v>23</v>
      </c>
      <c r="D150" t="s">
        <v>168</v>
      </c>
      <c r="E150" t="s">
        <v>15</v>
      </c>
      <c r="F150" t="s">
        <v>16</v>
      </c>
      <c r="G150">
        <v>1</v>
      </c>
      <c r="H150">
        <v>25</v>
      </c>
      <c r="I150">
        <v>25</v>
      </c>
      <c r="J150">
        <f t="shared" si="10"/>
        <v>6.25</v>
      </c>
      <c r="L150" t="str">
        <f t="shared" si="11"/>
        <v>May</v>
      </c>
      <c r="M150">
        <f t="shared" si="12"/>
        <v>2024</v>
      </c>
      <c r="N150" t="str">
        <f t="shared" si="13"/>
        <v>Low</v>
      </c>
      <c r="O150">
        <f t="shared" si="14"/>
        <v>0.25</v>
      </c>
    </row>
    <row r="151" spans="1:15" x14ac:dyDescent="0.3">
      <c r="A151">
        <v>10150</v>
      </c>
      <c r="B151" s="1">
        <v>45441</v>
      </c>
      <c r="C151" t="s">
        <v>25</v>
      </c>
      <c r="D151" t="s">
        <v>169</v>
      </c>
      <c r="E151" t="s">
        <v>19</v>
      </c>
      <c r="F151" t="s">
        <v>12</v>
      </c>
      <c r="G151">
        <v>2</v>
      </c>
      <c r="H151">
        <v>149.99</v>
      </c>
      <c r="I151">
        <v>299.98</v>
      </c>
      <c r="J151">
        <f t="shared" si="10"/>
        <v>74.995000000000005</v>
      </c>
      <c r="L151" t="str">
        <f t="shared" si="11"/>
        <v>May</v>
      </c>
      <c r="M151">
        <f t="shared" si="12"/>
        <v>2024</v>
      </c>
      <c r="N151" t="str">
        <f t="shared" si="13"/>
        <v>Medium</v>
      </c>
      <c r="O151">
        <f t="shared" si="14"/>
        <v>0.25</v>
      </c>
    </row>
    <row r="152" spans="1:15" x14ac:dyDescent="0.3">
      <c r="A152">
        <v>10151</v>
      </c>
      <c r="B152" s="1">
        <v>45442</v>
      </c>
      <c r="C152" t="s">
        <v>9</v>
      </c>
      <c r="D152" t="s">
        <v>51</v>
      </c>
      <c r="E152" t="s">
        <v>11</v>
      </c>
      <c r="F152" t="s">
        <v>12</v>
      </c>
      <c r="G152">
        <v>1</v>
      </c>
      <c r="H152">
        <v>349.99</v>
      </c>
      <c r="I152">
        <v>349.99</v>
      </c>
      <c r="J152">
        <f t="shared" si="10"/>
        <v>87.497500000000002</v>
      </c>
      <c r="L152" t="str">
        <f t="shared" si="11"/>
        <v>May</v>
      </c>
      <c r="M152">
        <f t="shared" si="12"/>
        <v>2024</v>
      </c>
      <c r="N152" t="str">
        <f t="shared" si="13"/>
        <v>Medium</v>
      </c>
      <c r="O152">
        <f t="shared" si="14"/>
        <v>0.25</v>
      </c>
    </row>
    <row r="153" spans="1:15" x14ac:dyDescent="0.3">
      <c r="A153">
        <v>10152</v>
      </c>
      <c r="B153" s="1">
        <v>45443</v>
      </c>
      <c r="C153" t="s">
        <v>13</v>
      </c>
      <c r="D153" t="s">
        <v>170</v>
      </c>
      <c r="E153" t="s">
        <v>15</v>
      </c>
      <c r="F153" t="s">
        <v>16</v>
      </c>
      <c r="G153">
        <v>2</v>
      </c>
      <c r="H153">
        <v>199.99</v>
      </c>
      <c r="I153">
        <v>399.98</v>
      </c>
      <c r="J153">
        <f t="shared" si="10"/>
        <v>99.995000000000005</v>
      </c>
      <c r="L153" t="str">
        <f t="shared" si="11"/>
        <v>May</v>
      </c>
      <c r="M153">
        <f t="shared" si="12"/>
        <v>2024</v>
      </c>
      <c r="N153" t="str">
        <f t="shared" si="13"/>
        <v>Medium</v>
      </c>
      <c r="O153">
        <f t="shared" si="14"/>
        <v>0.25</v>
      </c>
    </row>
    <row r="154" spans="1:15" x14ac:dyDescent="0.3">
      <c r="A154">
        <v>10153</v>
      </c>
      <c r="B154" s="1">
        <v>45444</v>
      </c>
      <c r="C154" t="s">
        <v>17</v>
      </c>
      <c r="D154" t="s">
        <v>171</v>
      </c>
      <c r="E154" t="s">
        <v>19</v>
      </c>
      <c r="F154" t="s">
        <v>20</v>
      </c>
      <c r="G154">
        <v>3</v>
      </c>
      <c r="H154">
        <v>54.99</v>
      </c>
      <c r="I154">
        <v>164.97</v>
      </c>
      <c r="J154">
        <f t="shared" si="10"/>
        <v>41.2425</v>
      </c>
      <c r="L154" t="str">
        <f t="shared" si="11"/>
        <v>Jun</v>
      </c>
      <c r="M154">
        <f t="shared" si="12"/>
        <v>2024</v>
      </c>
      <c r="N154" t="str">
        <f t="shared" si="13"/>
        <v>Medium</v>
      </c>
      <c r="O154">
        <f t="shared" si="14"/>
        <v>0.25</v>
      </c>
    </row>
    <row r="155" spans="1:15" x14ac:dyDescent="0.3">
      <c r="A155">
        <v>10154</v>
      </c>
      <c r="B155" s="1">
        <v>45445</v>
      </c>
      <c r="C155" t="s">
        <v>21</v>
      </c>
      <c r="D155" t="s">
        <v>172</v>
      </c>
      <c r="E155" t="s">
        <v>11</v>
      </c>
      <c r="F155" t="s">
        <v>12</v>
      </c>
      <c r="G155">
        <v>2</v>
      </c>
      <c r="H155">
        <v>16.989999999999998</v>
      </c>
      <c r="I155">
        <v>33.979999999999997</v>
      </c>
      <c r="J155">
        <f t="shared" si="10"/>
        <v>8.4949999999999992</v>
      </c>
      <c r="L155" t="str">
        <f t="shared" si="11"/>
        <v>Jun</v>
      </c>
      <c r="M155">
        <f t="shared" si="12"/>
        <v>2024</v>
      </c>
      <c r="N155" t="str">
        <f t="shared" si="13"/>
        <v>Low</v>
      </c>
      <c r="O155">
        <f t="shared" si="14"/>
        <v>0.25</v>
      </c>
    </row>
    <row r="156" spans="1:15" x14ac:dyDescent="0.3">
      <c r="A156">
        <v>10155</v>
      </c>
      <c r="B156" s="1">
        <v>45446</v>
      </c>
      <c r="C156" t="s">
        <v>23</v>
      </c>
      <c r="D156" t="s">
        <v>173</v>
      </c>
      <c r="E156" t="s">
        <v>15</v>
      </c>
      <c r="F156" t="s">
        <v>16</v>
      </c>
      <c r="G156">
        <v>1</v>
      </c>
      <c r="H156">
        <v>59</v>
      </c>
      <c r="I156">
        <v>59</v>
      </c>
      <c r="J156">
        <f t="shared" si="10"/>
        <v>14.75</v>
      </c>
      <c r="L156" t="str">
        <f t="shared" si="11"/>
        <v>Jun</v>
      </c>
      <c r="M156">
        <f t="shared" si="12"/>
        <v>2024</v>
      </c>
      <c r="N156" t="str">
        <f t="shared" si="13"/>
        <v>Low</v>
      </c>
      <c r="O156">
        <f t="shared" si="14"/>
        <v>0.25</v>
      </c>
    </row>
    <row r="157" spans="1:15" x14ac:dyDescent="0.3">
      <c r="A157">
        <v>10156</v>
      </c>
      <c r="B157" s="1">
        <v>45447</v>
      </c>
      <c r="C157" t="s">
        <v>25</v>
      </c>
      <c r="D157" t="s">
        <v>174</v>
      </c>
      <c r="E157" t="s">
        <v>19</v>
      </c>
      <c r="F157" t="s">
        <v>12</v>
      </c>
      <c r="G157">
        <v>1</v>
      </c>
      <c r="H157">
        <v>299.99</v>
      </c>
      <c r="I157">
        <v>299.99</v>
      </c>
      <c r="J157">
        <f t="shared" si="10"/>
        <v>74.997500000000002</v>
      </c>
      <c r="L157" t="str">
        <f t="shared" si="11"/>
        <v>Jun</v>
      </c>
      <c r="M157">
        <f t="shared" si="12"/>
        <v>2024</v>
      </c>
      <c r="N157" t="str">
        <f t="shared" si="13"/>
        <v>Medium</v>
      </c>
      <c r="O157">
        <f t="shared" si="14"/>
        <v>0.25</v>
      </c>
    </row>
    <row r="158" spans="1:15" x14ac:dyDescent="0.3">
      <c r="A158">
        <v>10157</v>
      </c>
      <c r="B158" s="1">
        <v>45448</v>
      </c>
      <c r="C158" t="s">
        <v>9</v>
      </c>
      <c r="D158" t="s">
        <v>175</v>
      </c>
      <c r="E158" t="s">
        <v>11</v>
      </c>
      <c r="F158" t="s">
        <v>12</v>
      </c>
      <c r="G158">
        <v>1</v>
      </c>
      <c r="H158">
        <v>899.99</v>
      </c>
      <c r="I158">
        <v>899.99</v>
      </c>
      <c r="J158">
        <f t="shared" si="10"/>
        <v>224.9975</v>
      </c>
      <c r="L158" t="str">
        <f t="shared" si="11"/>
        <v>Jun</v>
      </c>
      <c r="M158">
        <f t="shared" si="12"/>
        <v>2024</v>
      </c>
      <c r="N158" t="str">
        <f t="shared" si="13"/>
        <v>High</v>
      </c>
      <c r="O158">
        <f t="shared" si="14"/>
        <v>0.25</v>
      </c>
    </row>
    <row r="159" spans="1:15" x14ac:dyDescent="0.3">
      <c r="A159">
        <v>10158</v>
      </c>
      <c r="B159" s="1">
        <v>45449</v>
      </c>
      <c r="C159" t="s">
        <v>13</v>
      </c>
      <c r="D159" t="s">
        <v>176</v>
      </c>
      <c r="E159" t="s">
        <v>15</v>
      </c>
      <c r="F159" t="s">
        <v>16</v>
      </c>
      <c r="G159">
        <v>1</v>
      </c>
      <c r="H159">
        <v>499.95</v>
      </c>
      <c r="I159">
        <v>499.95</v>
      </c>
      <c r="J159">
        <f t="shared" si="10"/>
        <v>124.9875</v>
      </c>
      <c r="L159" t="str">
        <f t="shared" si="11"/>
        <v>Jun</v>
      </c>
      <c r="M159">
        <f t="shared" si="12"/>
        <v>2024</v>
      </c>
      <c r="N159" t="str">
        <f t="shared" si="13"/>
        <v>Medium</v>
      </c>
      <c r="O159">
        <f t="shared" si="14"/>
        <v>0.25</v>
      </c>
    </row>
    <row r="160" spans="1:15" x14ac:dyDescent="0.3">
      <c r="A160">
        <v>10159</v>
      </c>
      <c r="B160" s="1">
        <v>45450</v>
      </c>
      <c r="C160" t="s">
        <v>17</v>
      </c>
      <c r="D160" t="s">
        <v>177</v>
      </c>
      <c r="E160" t="s">
        <v>19</v>
      </c>
      <c r="F160" t="s">
        <v>20</v>
      </c>
      <c r="G160">
        <v>4</v>
      </c>
      <c r="H160">
        <v>24.99</v>
      </c>
      <c r="I160">
        <v>99.96</v>
      </c>
      <c r="J160">
        <f t="shared" si="10"/>
        <v>24.99</v>
      </c>
      <c r="L160" t="str">
        <f t="shared" si="11"/>
        <v>Jun</v>
      </c>
      <c r="M160">
        <f t="shared" si="12"/>
        <v>2024</v>
      </c>
      <c r="N160" t="str">
        <f t="shared" si="13"/>
        <v>Low</v>
      </c>
      <c r="O160">
        <f t="shared" si="14"/>
        <v>0.25</v>
      </c>
    </row>
    <row r="161" spans="1:15" x14ac:dyDescent="0.3">
      <c r="A161">
        <v>10160</v>
      </c>
      <c r="B161" s="1">
        <v>45451</v>
      </c>
      <c r="C161" t="s">
        <v>21</v>
      </c>
      <c r="D161" t="s">
        <v>178</v>
      </c>
      <c r="E161" t="s">
        <v>11</v>
      </c>
      <c r="F161" t="s">
        <v>12</v>
      </c>
      <c r="G161">
        <v>3</v>
      </c>
      <c r="H161">
        <v>7.99</v>
      </c>
      <c r="I161">
        <v>23.97</v>
      </c>
      <c r="J161">
        <f t="shared" si="10"/>
        <v>5.9924999999999997</v>
      </c>
      <c r="L161" t="str">
        <f t="shared" si="11"/>
        <v>Jun</v>
      </c>
      <c r="M161">
        <f t="shared" si="12"/>
        <v>2024</v>
      </c>
      <c r="N161" t="str">
        <f t="shared" si="13"/>
        <v>Low</v>
      </c>
      <c r="O161">
        <f t="shared" si="14"/>
        <v>0.25</v>
      </c>
    </row>
    <row r="162" spans="1:15" x14ac:dyDescent="0.3">
      <c r="A162">
        <v>10161</v>
      </c>
      <c r="B162" s="1">
        <v>45452</v>
      </c>
      <c r="C162" t="s">
        <v>23</v>
      </c>
      <c r="D162" t="s">
        <v>179</v>
      </c>
      <c r="E162" t="s">
        <v>15</v>
      </c>
      <c r="F162" t="s">
        <v>16</v>
      </c>
      <c r="G162">
        <v>1</v>
      </c>
      <c r="H162">
        <v>36</v>
      </c>
      <c r="I162">
        <v>36</v>
      </c>
      <c r="J162">
        <f t="shared" si="10"/>
        <v>9</v>
      </c>
      <c r="L162" t="str">
        <f t="shared" si="11"/>
        <v>Jun</v>
      </c>
      <c r="M162">
        <f t="shared" si="12"/>
        <v>2024</v>
      </c>
      <c r="N162" t="str">
        <f t="shared" si="13"/>
        <v>Low</v>
      </c>
      <c r="O162">
        <f t="shared" si="14"/>
        <v>0.25</v>
      </c>
    </row>
    <row r="163" spans="1:15" x14ac:dyDescent="0.3">
      <c r="A163">
        <v>10162</v>
      </c>
      <c r="B163" s="1">
        <v>45453</v>
      </c>
      <c r="C163" t="s">
        <v>25</v>
      </c>
      <c r="D163" t="s">
        <v>180</v>
      </c>
      <c r="E163" t="s">
        <v>19</v>
      </c>
      <c r="F163" t="s">
        <v>12</v>
      </c>
      <c r="G163">
        <v>2</v>
      </c>
      <c r="H163">
        <v>34.99</v>
      </c>
      <c r="I163">
        <v>69.98</v>
      </c>
      <c r="J163">
        <f t="shared" si="10"/>
        <v>17.495000000000001</v>
      </c>
      <c r="L163" t="str">
        <f t="shared" si="11"/>
        <v>Jun</v>
      </c>
      <c r="M163">
        <f t="shared" si="12"/>
        <v>2024</v>
      </c>
      <c r="N163" t="str">
        <f t="shared" si="13"/>
        <v>Low</v>
      </c>
      <c r="O163">
        <f t="shared" si="14"/>
        <v>0.25</v>
      </c>
    </row>
    <row r="164" spans="1:15" x14ac:dyDescent="0.3">
      <c r="A164">
        <v>10163</v>
      </c>
      <c r="B164" s="1">
        <v>45454</v>
      </c>
      <c r="C164" t="s">
        <v>9</v>
      </c>
      <c r="D164" t="s">
        <v>181</v>
      </c>
      <c r="E164" t="s">
        <v>11</v>
      </c>
      <c r="F164" t="s">
        <v>12</v>
      </c>
      <c r="G164">
        <v>1</v>
      </c>
      <c r="H164">
        <v>1199.99</v>
      </c>
      <c r="I164">
        <v>1199.99</v>
      </c>
      <c r="J164">
        <f t="shared" si="10"/>
        <v>299.9975</v>
      </c>
      <c r="L164" t="str">
        <f t="shared" si="11"/>
        <v>Jun</v>
      </c>
      <c r="M164">
        <f t="shared" si="12"/>
        <v>2024</v>
      </c>
      <c r="N164" t="str">
        <f t="shared" si="13"/>
        <v>High</v>
      </c>
      <c r="O164">
        <f t="shared" si="14"/>
        <v>0.25</v>
      </c>
    </row>
    <row r="165" spans="1:15" x14ac:dyDescent="0.3">
      <c r="A165">
        <v>10164</v>
      </c>
      <c r="B165" s="1">
        <v>45455</v>
      </c>
      <c r="C165" t="s">
        <v>13</v>
      </c>
      <c r="D165" t="s">
        <v>182</v>
      </c>
      <c r="E165" t="s">
        <v>15</v>
      </c>
      <c r="F165" t="s">
        <v>16</v>
      </c>
      <c r="G165">
        <v>1</v>
      </c>
      <c r="H165">
        <v>199.99</v>
      </c>
      <c r="I165">
        <v>199.99</v>
      </c>
      <c r="J165">
        <f t="shared" si="10"/>
        <v>49.997500000000002</v>
      </c>
      <c r="L165" t="str">
        <f t="shared" si="11"/>
        <v>Jun</v>
      </c>
      <c r="M165">
        <f t="shared" si="12"/>
        <v>2024</v>
      </c>
      <c r="N165" t="str">
        <f t="shared" si="13"/>
        <v>Medium</v>
      </c>
      <c r="O165">
        <f t="shared" si="14"/>
        <v>0.25</v>
      </c>
    </row>
    <row r="166" spans="1:15" x14ac:dyDescent="0.3">
      <c r="A166">
        <v>10165</v>
      </c>
      <c r="B166" s="1">
        <v>45456</v>
      </c>
      <c r="C166" t="s">
        <v>17</v>
      </c>
      <c r="D166" t="s">
        <v>183</v>
      </c>
      <c r="E166" t="s">
        <v>19</v>
      </c>
      <c r="F166" t="s">
        <v>20</v>
      </c>
      <c r="G166">
        <v>5</v>
      </c>
      <c r="H166">
        <v>29.99</v>
      </c>
      <c r="I166">
        <v>149.94999999999999</v>
      </c>
      <c r="J166">
        <f t="shared" si="10"/>
        <v>37.487499999999997</v>
      </c>
      <c r="L166" t="str">
        <f t="shared" si="11"/>
        <v>Jun</v>
      </c>
      <c r="M166">
        <f t="shared" si="12"/>
        <v>2024</v>
      </c>
      <c r="N166" t="str">
        <f t="shared" si="13"/>
        <v>Medium</v>
      </c>
      <c r="O166">
        <f t="shared" si="14"/>
        <v>0.25</v>
      </c>
    </row>
    <row r="167" spans="1:15" x14ac:dyDescent="0.3">
      <c r="A167">
        <v>10166</v>
      </c>
      <c r="B167" s="1">
        <v>45457</v>
      </c>
      <c r="C167" t="s">
        <v>21</v>
      </c>
      <c r="D167" t="s">
        <v>184</v>
      </c>
      <c r="E167" t="s">
        <v>11</v>
      </c>
      <c r="F167" t="s">
        <v>12</v>
      </c>
      <c r="G167">
        <v>4</v>
      </c>
      <c r="H167">
        <v>8.99</v>
      </c>
      <c r="I167">
        <v>35.96</v>
      </c>
      <c r="J167">
        <f t="shared" si="10"/>
        <v>8.99</v>
      </c>
      <c r="L167" t="str">
        <f t="shared" si="11"/>
        <v>Jun</v>
      </c>
      <c r="M167">
        <f t="shared" si="12"/>
        <v>2024</v>
      </c>
      <c r="N167" t="str">
        <f t="shared" si="13"/>
        <v>Low</v>
      </c>
      <c r="O167">
        <f t="shared" si="14"/>
        <v>0.25</v>
      </c>
    </row>
    <row r="168" spans="1:15" x14ac:dyDescent="0.3">
      <c r="A168">
        <v>10167</v>
      </c>
      <c r="B168" s="1">
        <v>45458</v>
      </c>
      <c r="C168" t="s">
        <v>23</v>
      </c>
      <c r="D168" t="s">
        <v>185</v>
      </c>
      <c r="E168" t="s">
        <v>15</v>
      </c>
      <c r="F168" t="s">
        <v>16</v>
      </c>
      <c r="G168">
        <v>1</v>
      </c>
      <c r="H168">
        <v>16.989999999999998</v>
      </c>
      <c r="I168">
        <v>16.989999999999998</v>
      </c>
      <c r="J168">
        <f t="shared" si="10"/>
        <v>4.2474999999999996</v>
      </c>
      <c r="L168" t="str">
        <f t="shared" si="11"/>
        <v>Jun</v>
      </c>
      <c r="M168">
        <f t="shared" si="12"/>
        <v>2024</v>
      </c>
      <c r="N168" t="str">
        <f t="shared" si="13"/>
        <v>Low</v>
      </c>
      <c r="O168">
        <f t="shared" si="14"/>
        <v>0.25</v>
      </c>
    </row>
    <row r="169" spans="1:15" x14ac:dyDescent="0.3">
      <c r="A169">
        <v>10168</v>
      </c>
      <c r="B169" s="1">
        <v>45459</v>
      </c>
      <c r="C169" t="s">
        <v>25</v>
      </c>
      <c r="D169" t="s">
        <v>186</v>
      </c>
      <c r="E169" t="s">
        <v>19</v>
      </c>
      <c r="F169" t="s">
        <v>12</v>
      </c>
      <c r="G169">
        <v>3</v>
      </c>
      <c r="H169">
        <v>49.99</v>
      </c>
      <c r="I169">
        <v>149.97</v>
      </c>
      <c r="J169">
        <f t="shared" si="10"/>
        <v>37.4925</v>
      </c>
      <c r="L169" t="str">
        <f t="shared" si="11"/>
        <v>Jun</v>
      </c>
      <c r="M169">
        <f t="shared" si="12"/>
        <v>2024</v>
      </c>
      <c r="N169" t="str">
        <f t="shared" si="13"/>
        <v>Medium</v>
      </c>
      <c r="O169">
        <f t="shared" si="14"/>
        <v>0.25</v>
      </c>
    </row>
    <row r="170" spans="1:15" x14ac:dyDescent="0.3">
      <c r="A170">
        <v>10169</v>
      </c>
      <c r="B170" s="1">
        <v>45460</v>
      </c>
      <c r="C170" t="s">
        <v>9</v>
      </c>
      <c r="D170" t="s">
        <v>187</v>
      </c>
      <c r="E170" t="s">
        <v>11</v>
      </c>
      <c r="F170" t="s">
        <v>12</v>
      </c>
      <c r="G170">
        <v>1</v>
      </c>
      <c r="H170">
        <v>699.99</v>
      </c>
      <c r="I170">
        <v>699.99</v>
      </c>
      <c r="J170">
        <f t="shared" si="10"/>
        <v>174.9975</v>
      </c>
      <c r="L170" t="str">
        <f t="shared" si="11"/>
        <v>Jun</v>
      </c>
      <c r="M170">
        <f t="shared" si="12"/>
        <v>2024</v>
      </c>
      <c r="N170" t="str">
        <f t="shared" si="13"/>
        <v>High</v>
      </c>
      <c r="O170">
        <f t="shared" si="14"/>
        <v>0.25</v>
      </c>
    </row>
    <row r="171" spans="1:15" x14ac:dyDescent="0.3">
      <c r="A171">
        <v>10170</v>
      </c>
      <c r="B171" s="1">
        <v>45461</v>
      </c>
      <c r="C171" t="s">
        <v>13</v>
      </c>
      <c r="D171" t="s">
        <v>188</v>
      </c>
      <c r="E171" t="s">
        <v>15</v>
      </c>
      <c r="F171" t="s">
        <v>16</v>
      </c>
      <c r="G171">
        <v>2</v>
      </c>
      <c r="H171">
        <v>139.99</v>
      </c>
      <c r="I171">
        <v>279.98</v>
      </c>
      <c r="J171">
        <f t="shared" si="10"/>
        <v>69.995000000000005</v>
      </c>
      <c r="L171" t="str">
        <f t="shared" si="11"/>
        <v>Jun</v>
      </c>
      <c r="M171">
        <f t="shared" si="12"/>
        <v>2024</v>
      </c>
      <c r="N171" t="str">
        <f t="shared" si="13"/>
        <v>Medium</v>
      </c>
      <c r="O171">
        <f t="shared" si="14"/>
        <v>0.25</v>
      </c>
    </row>
    <row r="172" spans="1:15" x14ac:dyDescent="0.3">
      <c r="A172">
        <v>10171</v>
      </c>
      <c r="B172" s="1">
        <v>45462</v>
      </c>
      <c r="C172" t="s">
        <v>17</v>
      </c>
      <c r="D172" t="s">
        <v>189</v>
      </c>
      <c r="E172" t="s">
        <v>19</v>
      </c>
      <c r="F172" t="s">
        <v>20</v>
      </c>
      <c r="G172">
        <v>3</v>
      </c>
      <c r="H172">
        <v>34.99</v>
      </c>
      <c r="I172">
        <v>104.97</v>
      </c>
      <c r="J172">
        <f t="shared" si="10"/>
        <v>26.2425</v>
      </c>
      <c r="L172" t="str">
        <f t="shared" si="11"/>
        <v>Jun</v>
      </c>
      <c r="M172">
        <f t="shared" si="12"/>
        <v>2024</v>
      </c>
      <c r="N172" t="str">
        <f t="shared" si="13"/>
        <v>Medium</v>
      </c>
      <c r="O172">
        <f t="shared" si="14"/>
        <v>0.25</v>
      </c>
    </row>
    <row r="173" spans="1:15" x14ac:dyDescent="0.3">
      <c r="A173">
        <v>10172</v>
      </c>
      <c r="B173" s="1">
        <v>45463</v>
      </c>
      <c r="C173" t="s">
        <v>21</v>
      </c>
      <c r="D173" t="s">
        <v>190</v>
      </c>
      <c r="E173" t="s">
        <v>11</v>
      </c>
      <c r="F173" t="s">
        <v>12</v>
      </c>
      <c r="G173">
        <v>2</v>
      </c>
      <c r="H173">
        <v>9.99</v>
      </c>
      <c r="I173">
        <v>19.98</v>
      </c>
      <c r="J173">
        <f t="shared" si="10"/>
        <v>4.9950000000000001</v>
      </c>
      <c r="L173" t="str">
        <f t="shared" si="11"/>
        <v>Jun</v>
      </c>
      <c r="M173">
        <f t="shared" si="12"/>
        <v>2024</v>
      </c>
      <c r="N173" t="str">
        <f t="shared" si="13"/>
        <v>Low</v>
      </c>
      <c r="O173">
        <f t="shared" si="14"/>
        <v>0.25</v>
      </c>
    </row>
    <row r="174" spans="1:15" x14ac:dyDescent="0.3">
      <c r="A174">
        <v>10173</v>
      </c>
      <c r="B174" s="1">
        <v>45464</v>
      </c>
      <c r="C174" t="s">
        <v>23</v>
      </c>
      <c r="D174" t="s">
        <v>191</v>
      </c>
      <c r="E174" t="s">
        <v>15</v>
      </c>
      <c r="F174" t="s">
        <v>16</v>
      </c>
      <c r="G174">
        <v>1</v>
      </c>
      <c r="H174">
        <v>29.5</v>
      </c>
      <c r="I174">
        <v>29.5</v>
      </c>
      <c r="J174">
        <f t="shared" si="10"/>
        <v>7.375</v>
      </c>
      <c r="L174" t="str">
        <f t="shared" si="11"/>
        <v>Jun</v>
      </c>
      <c r="M174">
        <f t="shared" si="12"/>
        <v>2024</v>
      </c>
      <c r="N174" t="str">
        <f t="shared" si="13"/>
        <v>Low</v>
      </c>
      <c r="O174">
        <f t="shared" si="14"/>
        <v>0.25</v>
      </c>
    </row>
    <row r="175" spans="1:15" x14ac:dyDescent="0.3">
      <c r="A175">
        <v>10174</v>
      </c>
      <c r="B175" s="1">
        <v>45465</v>
      </c>
      <c r="C175" t="s">
        <v>25</v>
      </c>
      <c r="D175" t="s">
        <v>192</v>
      </c>
      <c r="E175" t="s">
        <v>19</v>
      </c>
      <c r="F175" t="s">
        <v>12</v>
      </c>
      <c r="G175">
        <v>1</v>
      </c>
      <c r="H175">
        <v>699.99</v>
      </c>
      <c r="I175">
        <v>699.99</v>
      </c>
      <c r="J175">
        <f t="shared" si="10"/>
        <v>174.9975</v>
      </c>
      <c r="L175" t="str">
        <f t="shared" si="11"/>
        <v>Jun</v>
      </c>
      <c r="M175">
        <f t="shared" si="12"/>
        <v>2024</v>
      </c>
      <c r="N175" t="str">
        <f t="shared" si="13"/>
        <v>High</v>
      </c>
      <c r="O175">
        <f t="shared" si="14"/>
        <v>0.25</v>
      </c>
    </row>
    <row r="176" spans="1:15" x14ac:dyDescent="0.3">
      <c r="A176">
        <v>10175</v>
      </c>
      <c r="B176" s="1">
        <v>45466</v>
      </c>
      <c r="C176" t="s">
        <v>9</v>
      </c>
      <c r="D176" t="s">
        <v>193</v>
      </c>
      <c r="E176" t="s">
        <v>11</v>
      </c>
      <c r="F176" t="s">
        <v>12</v>
      </c>
      <c r="G176">
        <v>3</v>
      </c>
      <c r="H176">
        <v>49.99</v>
      </c>
      <c r="I176">
        <v>149.97</v>
      </c>
      <c r="J176">
        <f t="shared" si="10"/>
        <v>37.4925</v>
      </c>
      <c r="L176" t="str">
        <f t="shared" si="11"/>
        <v>Jun</v>
      </c>
      <c r="M176">
        <f t="shared" si="12"/>
        <v>2024</v>
      </c>
      <c r="N176" t="str">
        <f t="shared" si="13"/>
        <v>Medium</v>
      </c>
      <c r="O176">
        <f t="shared" si="14"/>
        <v>0.25</v>
      </c>
    </row>
    <row r="177" spans="1:15" x14ac:dyDescent="0.3">
      <c r="A177">
        <v>10176</v>
      </c>
      <c r="B177" s="1">
        <v>45467</v>
      </c>
      <c r="C177" t="s">
        <v>13</v>
      </c>
      <c r="D177" t="s">
        <v>194</v>
      </c>
      <c r="E177" t="s">
        <v>15</v>
      </c>
      <c r="F177" t="s">
        <v>16</v>
      </c>
      <c r="G177">
        <v>2</v>
      </c>
      <c r="H177">
        <v>49.99</v>
      </c>
      <c r="I177">
        <v>99.98</v>
      </c>
      <c r="J177">
        <f t="shared" si="10"/>
        <v>24.995000000000001</v>
      </c>
      <c r="L177" t="str">
        <f t="shared" si="11"/>
        <v>Jun</v>
      </c>
      <c r="M177">
        <f t="shared" si="12"/>
        <v>2024</v>
      </c>
      <c r="N177" t="str">
        <f t="shared" si="13"/>
        <v>Low</v>
      </c>
      <c r="O177">
        <f t="shared" si="14"/>
        <v>0.25</v>
      </c>
    </row>
    <row r="178" spans="1:15" x14ac:dyDescent="0.3">
      <c r="A178">
        <v>10177</v>
      </c>
      <c r="B178" s="1">
        <v>45468</v>
      </c>
      <c r="C178" t="s">
        <v>17</v>
      </c>
      <c r="D178" t="s">
        <v>195</v>
      </c>
      <c r="E178" t="s">
        <v>19</v>
      </c>
      <c r="F178" t="s">
        <v>20</v>
      </c>
      <c r="G178">
        <v>4</v>
      </c>
      <c r="H178">
        <v>14.9</v>
      </c>
      <c r="I178">
        <v>59.6</v>
      </c>
      <c r="J178">
        <f t="shared" si="10"/>
        <v>14.9</v>
      </c>
      <c r="L178" t="str">
        <f t="shared" si="11"/>
        <v>Jun</v>
      </c>
      <c r="M178">
        <f t="shared" si="12"/>
        <v>2024</v>
      </c>
      <c r="N178" t="str">
        <f t="shared" si="13"/>
        <v>Low</v>
      </c>
      <c r="O178">
        <f t="shared" si="14"/>
        <v>0.25</v>
      </c>
    </row>
    <row r="179" spans="1:15" x14ac:dyDescent="0.3">
      <c r="A179">
        <v>10178</v>
      </c>
      <c r="B179" s="1">
        <v>45469</v>
      </c>
      <c r="C179" t="s">
        <v>21</v>
      </c>
      <c r="D179" t="s">
        <v>196</v>
      </c>
      <c r="E179" t="s">
        <v>11</v>
      </c>
      <c r="F179" t="s">
        <v>12</v>
      </c>
      <c r="G179">
        <v>3</v>
      </c>
      <c r="H179">
        <v>11.99</v>
      </c>
      <c r="I179">
        <v>35.97</v>
      </c>
      <c r="J179">
        <f t="shared" si="10"/>
        <v>8.9924999999999997</v>
      </c>
      <c r="L179" t="str">
        <f t="shared" si="11"/>
        <v>Jun</v>
      </c>
      <c r="M179">
        <f t="shared" si="12"/>
        <v>2024</v>
      </c>
      <c r="N179" t="str">
        <f t="shared" si="13"/>
        <v>Low</v>
      </c>
      <c r="O179">
        <f t="shared" si="14"/>
        <v>0.25</v>
      </c>
    </row>
    <row r="180" spans="1:15" x14ac:dyDescent="0.3">
      <c r="A180">
        <v>10179</v>
      </c>
      <c r="B180" s="1">
        <v>45470</v>
      </c>
      <c r="C180" t="s">
        <v>23</v>
      </c>
      <c r="D180" t="s">
        <v>197</v>
      </c>
      <c r="E180" t="s">
        <v>15</v>
      </c>
      <c r="F180" t="s">
        <v>16</v>
      </c>
      <c r="G180">
        <v>2</v>
      </c>
      <c r="H180">
        <v>34</v>
      </c>
      <c r="I180">
        <v>68</v>
      </c>
      <c r="J180">
        <f t="shared" si="10"/>
        <v>17</v>
      </c>
      <c r="L180" t="str">
        <f t="shared" si="11"/>
        <v>Jun</v>
      </c>
      <c r="M180">
        <f t="shared" si="12"/>
        <v>2024</v>
      </c>
      <c r="N180" t="str">
        <f t="shared" si="13"/>
        <v>Low</v>
      </c>
      <c r="O180">
        <f t="shared" si="14"/>
        <v>0.25</v>
      </c>
    </row>
    <row r="181" spans="1:15" x14ac:dyDescent="0.3">
      <c r="A181">
        <v>10180</v>
      </c>
      <c r="B181" s="1">
        <v>45471</v>
      </c>
      <c r="C181" t="s">
        <v>25</v>
      </c>
      <c r="D181" t="s">
        <v>198</v>
      </c>
      <c r="E181" t="s">
        <v>19</v>
      </c>
      <c r="F181" t="s">
        <v>12</v>
      </c>
      <c r="G181">
        <v>1</v>
      </c>
      <c r="H181">
        <v>146</v>
      </c>
      <c r="I181">
        <v>146</v>
      </c>
      <c r="J181">
        <f t="shared" si="10"/>
        <v>36.5</v>
      </c>
      <c r="L181" t="str">
        <f t="shared" si="11"/>
        <v>Jun</v>
      </c>
      <c r="M181">
        <f t="shared" si="12"/>
        <v>2024</v>
      </c>
      <c r="N181" t="str">
        <f t="shared" si="13"/>
        <v>Medium</v>
      </c>
      <c r="O181">
        <f t="shared" si="14"/>
        <v>0.25</v>
      </c>
    </row>
    <row r="182" spans="1:15" x14ac:dyDescent="0.3">
      <c r="A182">
        <v>10181</v>
      </c>
      <c r="B182" s="1">
        <v>45472</v>
      </c>
      <c r="C182" t="s">
        <v>9</v>
      </c>
      <c r="D182" t="s">
        <v>199</v>
      </c>
      <c r="E182" t="s">
        <v>11</v>
      </c>
      <c r="F182" t="s">
        <v>12</v>
      </c>
      <c r="G182">
        <v>1</v>
      </c>
      <c r="H182">
        <v>649.99</v>
      </c>
      <c r="I182">
        <v>649.99</v>
      </c>
      <c r="J182">
        <f t="shared" si="10"/>
        <v>162.4975</v>
      </c>
      <c r="L182" t="str">
        <f t="shared" si="11"/>
        <v>Jun</v>
      </c>
      <c r="M182">
        <f t="shared" si="12"/>
        <v>2024</v>
      </c>
      <c r="N182" t="str">
        <f t="shared" si="13"/>
        <v>High</v>
      </c>
      <c r="O182">
        <f t="shared" si="14"/>
        <v>0.25</v>
      </c>
    </row>
    <row r="183" spans="1:15" x14ac:dyDescent="0.3">
      <c r="A183">
        <v>10182</v>
      </c>
      <c r="B183" s="1">
        <v>45473</v>
      </c>
      <c r="C183" t="s">
        <v>13</v>
      </c>
      <c r="D183" t="s">
        <v>200</v>
      </c>
      <c r="E183" t="s">
        <v>15</v>
      </c>
      <c r="F183" t="s">
        <v>16</v>
      </c>
      <c r="G183">
        <v>1</v>
      </c>
      <c r="H183">
        <v>399.99</v>
      </c>
      <c r="I183">
        <v>399.99</v>
      </c>
      <c r="J183">
        <f t="shared" si="10"/>
        <v>99.997500000000002</v>
      </c>
      <c r="L183" t="str">
        <f t="shared" si="11"/>
        <v>Jun</v>
      </c>
      <c r="M183">
        <f t="shared" si="12"/>
        <v>2024</v>
      </c>
      <c r="N183" t="str">
        <f t="shared" si="13"/>
        <v>Medium</v>
      </c>
      <c r="O183">
        <f t="shared" si="14"/>
        <v>0.25</v>
      </c>
    </row>
    <row r="184" spans="1:15" x14ac:dyDescent="0.3">
      <c r="A184">
        <v>10183</v>
      </c>
      <c r="B184" s="1">
        <v>45474</v>
      </c>
      <c r="C184" t="s">
        <v>17</v>
      </c>
      <c r="D184" t="s">
        <v>201</v>
      </c>
      <c r="E184" t="s">
        <v>19</v>
      </c>
      <c r="F184" t="s">
        <v>20</v>
      </c>
      <c r="G184">
        <v>3</v>
      </c>
      <c r="H184">
        <v>59.99</v>
      </c>
      <c r="I184">
        <v>179.97</v>
      </c>
      <c r="J184">
        <f t="shared" si="10"/>
        <v>44.9925</v>
      </c>
      <c r="L184" t="str">
        <f t="shared" si="11"/>
        <v>Jul</v>
      </c>
      <c r="M184">
        <f t="shared" si="12"/>
        <v>2024</v>
      </c>
      <c r="N184" t="str">
        <f t="shared" si="13"/>
        <v>Medium</v>
      </c>
      <c r="O184">
        <f t="shared" si="14"/>
        <v>0.25</v>
      </c>
    </row>
    <row r="185" spans="1:15" x14ac:dyDescent="0.3">
      <c r="A185">
        <v>10184</v>
      </c>
      <c r="B185" s="1">
        <v>45475</v>
      </c>
      <c r="C185" t="s">
        <v>21</v>
      </c>
      <c r="D185" t="s">
        <v>202</v>
      </c>
      <c r="E185" t="s">
        <v>11</v>
      </c>
      <c r="F185" t="s">
        <v>12</v>
      </c>
      <c r="G185">
        <v>2</v>
      </c>
      <c r="H185">
        <v>12.99</v>
      </c>
      <c r="I185">
        <v>25.98</v>
      </c>
      <c r="J185">
        <f t="shared" si="10"/>
        <v>6.4950000000000001</v>
      </c>
      <c r="L185" t="str">
        <f t="shared" si="11"/>
        <v>Jul</v>
      </c>
      <c r="M185">
        <f t="shared" si="12"/>
        <v>2024</v>
      </c>
      <c r="N185" t="str">
        <f t="shared" si="13"/>
        <v>Low</v>
      </c>
      <c r="O185">
        <f t="shared" si="14"/>
        <v>0.25</v>
      </c>
    </row>
    <row r="186" spans="1:15" x14ac:dyDescent="0.3">
      <c r="A186">
        <v>10185</v>
      </c>
      <c r="B186" s="1">
        <v>45476</v>
      </c>
      <c r="C186" t="s">
        <v>23</v>
      </c>
      <c r="D186" t="s">
        <v>203</v>
      </c>
      <c r="E186" t="s">
        <v>15</v>
      </c>
      <c r="F186" t="s">
        <v>16</v>
      </c>
      <c r="G186">
        <v>1</v>
      </c>
      <c r="H186">
        <v>190</v>
      </c>
      <c r="I186">
        <v>190</v>
      </c>
      <c r="J186">
        <f t="shared" si="10"/>
        <v>47.5</v>
      </c>
      <c r="L186" t="str">
        <f t="shared" si="11"/>
        <v>Jul</v>
      </c>
      <c r="M186">
        <f t="shared" si="12"/>
        <v>2024</v>
      </c>
      <c r="N186" t="str">
        <f t="shared" si="13"/>
        <v>Medium</v>
      </c>
      <c r="O186">
        <f t="shared" si="14"/>
        <v>0.25</v>
      </c>
    </row>
    <row r="187" spans="1:15" x14ac:dyDescent="0.3">
      <c r="A187">
        <v>10186</v>
      </c>
      <c r="B187" s="1">
        <v>45477</v>
      </c>
      <c r="C187" t="s">
        <v>25</v>
      </c>
      <c r="D187" t="s">
        <v>204</v>
      </c>
      <c r="E187" t="s">
        <v>19</v>
      </c>
      <c r="F187" t="s">
        <v>12</v>
      </c>
      <c r="G187">
        <v>1</v>
      </c>
      <c r="H187">
        <v>499.95</v>
      </c>
      <c r="I187">
        <v>499.95</v>
      </c>
      <c r="J187">
        <f t="shared" si="10"/>
        <v>124.9875</v>
      </c>
      <c r="L187" t="str">
        <f t="shared" si="11"/>
        <v>Jul</v>
      </c>
      <c r="M187">
        <f t="shared" si="12"/>
        <v>2024</v>
      </c>
      <c r="N187" t="str">
        <f t="shared" si="13"/>
        <v>Medium</v>
      </c>
      <c r="O187">
        <f t="shared" si="14"/>
        <v>0.25</v>
      </c>
    </row>
    <row r="188" spans="1:15" x14ac:dyDescent="0.3">
      <c r="A188">
        <v>10187</v>
      </c>
      <c r="B188" s="1">
        <v>45478</v>
      </c>
      <c r="C188" t="s">
        <v>9</v>
      </c>
      <c r="D188" t="s">
        <v>205</v>
      </c>
      <c r="E188" t="s">
        <v>11</v>
      </c>
      <c r="F188" t="s">
        <v>12</v>
      </c>
      <c r="G188">
        <v>1</v>
      </c>
      <c r="H188">
        <v>399</v>
      </c>
      <c r="I188">
        <v>399</v>
      </c>
      <c r="J188">
        <f t="shared" si="10"/>
        <v>99.75</v>
      </c>
      <c r="L188" t="str">
        <f t="shared" si="11"/>
        <v>Jul</v>
      </c>
      <c r="M188">
        <f t="shared" si="12"/>
        <v>2024</v>
      </c>
      <c r="N188" t="str">
        <f t="shared" si="13"/>
        <v>Medium</v>
      </c>
      <c r="O188">
        <f t="shared" si="14"/>
        <v>0.25</v>
      </c>
    </row>
    <row r="189" spans="1:15" x14ac:dyDescent="0.3">
      <c r="A189">
        <v>10188</v>
      </c>
      <c r="B189" s="1">
        <v>45479</v>
      </c>
      <c r="C189" t="s">
        <v>13</v>
      </c>
      <c r="D189" t="s">
        <v>206</v>
      </c>
      <c r="E189" t="s">
        <v>15</v>
      </c>
      <c r="F189" t="s">
        <v>16</v>
      </c>
      <c r="G189">
        <v>2</v>
      </c>
      <c r="H189">
        <v>199</v>
      </c>
      <c r="I189">
        <v>398</v>
      </c>
      <c r="J189">
        <f t="shared" si="10"/>
        <v>99.5</v>
      </c>
      <c r="L189" t="str">
        <f t="shared" si="11"/>
        <v>Jul</v>
      </c>
      <c r="M189">
        <f t="shared" si="12"/>
        <v>2024</v>
      </c>
      <c r="N189" t="str">
        <f t="shared" si="13"/>
        <v>Medium</v>
      </c>
      <c r="O189">
        <f t="shared" si="14"/>
        <v>0.25</v>
      </c>
    </row>
    <row r="190" spans="1:15" x14ac:dyDescent="0.3">
      <c r="A190">
        <v>10189</v>
      </c>
      <c r="B190" s="1">
        <v>45480</v>
      </c>
      <c r="C190" t="s">
        <v>17</v>
      </c>
      <c r="D190" t="s">
        <v>207</v>
      </c>
      <c r="E190" t="s">
        <v>19</v>
      </c>
      <c r="F190" t="s">
        <v>20</v>
      </c>
      <c r="G190">
        <v>4</v>
      </c>
      <c r="H190">
        <v>34.99</v>
      </c>
      <c r="I190">
        <v>139.96</v>
      </c>
      <c r="J190">
        <f t="shared" si="10"/>
        <v>34.99</v>
      </c>
      <c r="L190" t="str">
        <f t="shared" si="11"/>
        <v>Jul</v>
      </c>
      <c r="M190">
        <f t="shared" si="12"/>
        <v>2024</v>
      </c>
      <c r="N190" t="str">
        <f t="shared" si="13"/>
        <v>Medium</v>
      </c>
      <c r="O190">
        <f t="shared" si="14"/>
        <v>0.25</v>
      </c>
    </row>
    <row r="191" spans="1:15" x14ac:dyDescent="0.3">
      <c r="A191">
        <v>10190</v>
      </c>
      <c r="B191" s="1">
        <v>45481</v>
      </c>
      <c r="C191" t="s">
        <v>21</v>
      </c>
      <c r="D191" t="s">
        <v>108</v>
      </c>
      <c r="E191" t="s">
        <v>11</v>
      </c>
      <c r="F191" t="s">
        <v>12</v>
      </c>
      <c r="G191">
        <v>3</v>
      </c>
      <c r="H191">
        <v>10.99</v>
      </c>
      <c r="I191">
        <v>32.97</v>
      </c>
      <c r="J191">
        <f t="shared" si="10"/>
        <v>8.2424999999999997</v>
      </c>
      <c r="L191" t="str">
        <f t="shared" si="11"/>
        <v>Jul</v>
      </c>
      <c r="M191">
        <f t="shared" si="12"/>
        <v>2024</v>
      </c>
      <c r="N191" t="str">
        <f t="shared" si="13"/>
        <v>Low</v>
      </c>
      <c r="O191">
        <f t="shared" si="14"/>
        <v>0.25</v>
      </c>
    </row>
    <row r="192" spans="1:15" x14ac:dyDescent="0.3">
      <c r="A192">
        <v>10191</v>
      </c>
      <c r="B192" s="1">
        <v>45482</v>
      </c>
      <c r="C192" t="s">
        <v>23</v>
      </c>
      <c r="D192" t="s">
        <v>208</v>
      </c>
      <c r="E192" t="s">
        <v>15</v>
      </c>
      <c r="F192" t="s">
        <v>16</v>
      </c>
      <c r="G192">
        <v>1</v>
      </c>
      <c r="H192">
        <v>18</v>
      </c>
      <c r="I192">
        <v>18</v>
      </c>
      <c r="J192">
        <f t="shared" si="10"/>
        <v>4.5</v>
      </c>
      <c r="L192" t="str">
        <f t="shared" si="11"/>
        <v>Jul</v>
      </c>
      <c r="M192">
        <f t="shared" si="12"/>
        <v>2024</v>
      </c>
      <c r="N192" t="str">
        <f t="shared" si="13"/>
        <v>Low</v>
      </c>
      <c r="O192">
        <f t="shared" si="14"/>
        <v>0.25</v>
      </c>
    </row>
    <row r="193" spans="1:15" x14ac:dyDescent="0.3">
      <c r="A193">
        <v>10192</v>
      </c>
      <c r="B193" s="1">
        <v>45483</v>
      </c>
      <c r="C193" t="s">
        <v>25</v>
      </c>
      <c r="D193" t="s">
        <v>209</v>
      </c>
      <c r="E193" t="s">
        <v>19</v>
      </c>
      <c r="F193" t="s">
        <v>12</v>
      </c>
      <c r="G193">
        <v>1</v>
      </c>
      <c r="H193">
        <v>169.95</v>
      </c>
      <c r="I193">
        <v>169.95</v>
      </c>
      <c r="J193">
        <f t="shared" si="10"/>
        <v>42.487499999999997</v>
      </c>
      <c r="L193" t="str">
        <f t="shared" si="11"/>
        <v>Jul</v>
      </c>
      <c r="M193">
        <f t="shared" si="12"/>
        <v>2024</v>
      </c>
      <c r="N193" t="str">
        <f t="shared" si="13"/>
        <v>Medium</v>
      </c>
      <c r="O193">
        <f t="shared" si="14"/>
        <v>0.25</v>
      </c>
    </row>
    <row r="194" spans="1:15" x14ac:dyDescent="0.3">
      <c r="A194">
        <v>10193</v>
      </c>
      <c r="B194" s="1">
        <v>45484</v>
      </c>
      <c r="C194" t="s">
        <v>9</v>
      </c>
      <c r="D194" t="s">
        <v>210</v>
      </c>
      <c r="E194" t="s">
        <v>11</v>
      </c>
      <c r="F194" t="s">
        <v>12</v>
      </c>
      <c r="G194">
        <v>1</v>
      </c>
      <c r="H194">
        <v>199.99</v>
      </c>
      <c r="I194">
        <v>199.99</v>
      </c>
      <c r="J194">
        <f t="shared" si="10"/>
        <v>49.997500000000002</v>
      </c>
      <c r="L194" t="str">
        <f t="shared" si="11"/>
        <v>Jul</v>
      </c>
      <c r="M194">
        <f t="shared" si="12"/>
        <v>2024</v>
      </c>
      <c r="N194" t="str">
        <f t="shared" si="13"/>
        <v>Medium</v>
      </c>
      <c r="O194">
        <f t="shared" si="14"/>
        <v>0.25</v>
      </c>
    </row>
    <row r="195" spans="1:15" x14ac:dyDescent="0.3">
      <c r="A195">
        <v>10194</v>
      </c>
      <c r="B195" s="1">
        <v>45485</v>
      </c>
      <c r="C195" t="s">
        <v>13</v>
      </c>
      <c r="D195" t="s">
        <v>211</v>
      </c>
      <c r="E195" t="s">
        <v>15</v>
      </c>
      <c r="F195" t="s">
        <v>16</v>
      </c>
      <c r="G195">
        <v>1</v>
      </c>
      <c r="H195">
        <v>199.95</v>
      </c>
      <c r="I195">
        <v>199.95</v>
      </c>
      <c r="J195">
        <f t="shared" ref="J195:J241" si="15">I195*0.25</f>
        <v>49.987499999999997</v>
      </c>
      <c r="L195" t="str">
        <f t="shared" ref="L195:L241" si="16">TEXT(B:B,"mmm")</f>
        <v>Jul</v>
      </c>
      <c r="M195">
        <f t="shared" ref="M195:M241" si="17">YEAR(B:B)</f>
        <v>2024</v>
      </c>
      <c r="N195" t="str">
        <f t="shared" ref="N195:N241" si="18">IF(I195&lt;100,"Low",IF(I195&lt;500,"Medium","High"))</f>
        <v>Medium</v>
      </c>
      <c r="O195">
        <f t="shared" ref="O195:O241" si="19">J195/I195</f>
        <v>0.25</v>
      </c>
    </row>
    <row r="196" spans="1:15" x14ac:dyDescent="0.3">
      <c r="A196">
        <v>10195</v>
      </c>
      <c r="B196" s="1">
        <v>45486</v>
      </c>
      <c r="C196" t="s">
        <v>17</v>
      </c>
      <c r="D196" t="s">
        <v>212</v>
      </c>
      <c r="E196" t="s">
        <v>19</v>
      </c>
      <c r="F196" t="s">
        <v>20</v>
      </c>
      <c r="G196">
        <v>2</v>
      </c>
      <c r="H196">
        <v>179.99</v>
      </c>
      <c r="I196">
        <v>359.98</v>
      </c>
      <c r="J196">
        <f t="shared" si="15"/>
        <v>89.995000000000005</v>
      </c>
      <c r="L196" t="str">
        <f t="shared" si="16"/>
        <v>Jul</v>
      </c>
      <c r="M196">
        <f t="shared" si="17"/>
        <v>2024</v>
      </c>
      <c r="N196" t="str">
        <f t="shared" si="18"/>
        <v>Medium</v>
      </c>
      <c r="O196">
        <f t="shared" si="19"/>
        <v>0.25</v>
      </c>
    </row>
    <row r="197" spans="1:15" x14ac:dyDescent="0.3">
      <c r="A197">
        <v>10196</v>
      </c>
      <c r="B197" s="1">
        <v>45487</v>
      </c>
      <c r="C197" t="s">
        <v>21</v>
      </c>
      <c r="D197" t="s">
        <v>213</v>
      </c>
      <c r="E197" t="s">
        <v>11</v>
      </c>
      <c r="F197" t="s">
        <v>12</v>
      </c>
      <c r="G197">
        <v>2</v>
      </c>
      <c r="H197">
        <v>11.99</v>
      </c>
      <c r="I197">
        <v>23.98</v>
      </c>
      <c r="J197">
        <f t="shared" si="15"/>
        <v>5.9950000000000001</v>
      </c>
      <c r="L197" t="str">
        <f t="shared" si="16"/>
        <v>Jul</v>
      </c>
      <c r="M197">
        <f t="shared" si="17"/>
        <v>2024</v>
      </c>
      <c r="N197" t="str">
        <f t="shared" si="18"/>
        <v>Low</v>
      </c>
      <c r="O197">
        <f t="shared" si="19"/>
        <v>0.25</v>
      </c>
    </row>
    <row r="198" spans="1:15" x14ac:dyDescent="0.3">
      <c r="A198">
        <v>10197</v>
      </c>
      <c r="B198" s="1">
        <v>45488</v>
      </c>
      <c r="C198" t="s">
        <v>23</v>
      </c>
      <c r="D198" t="s">
        <v>214</v>
      </c>
      <c r="E198" t="s">
        <v>15</v>
      </c>
      <c r="F198" t="s">
        <v>16</v>
      </c>
      <c r="G198">
        <v>1</v>
      </c>
      <c r="H198">
        <v>125</v>
      </c>
      <c r="I198">
        <v>125</v>
      </c>
      <c r="J198">
        <f t="shared" si="15"/>
        <v>31.25</v>
      </c>
      <c r="L198" t="str">
        <f t="shared" si="16"/>
        <v>Jul</v>
      </c>
      <c r="M198">
        <f t="shared" si="17"/>
        <v>2024</v>
      </c>
      <c r="N198" t="str">
        <f t="shared" si="18"/>
        <v>Medium</v>
      </c>
      <c r="O198">
        <f t="shared" si="19"/>
        <v>0.25</v>
      </c>
    </row>
    <row r="199" spans="1:15" x14ac:dyDescent="0.3">
      <c r="A199">
        <v>10198</v>
      </c>
      <c r="B199" s="1">
        <v>45489</v>
      </c>
      <c r="C199" t="s">
        <v>25</v>
      </c>
      <c r="D199" t="s">
        <v>215</v>
      </c>
      <c r="E199" t="s">
        <v>19</v>
      </c>
      <c r="F199" t="s">
        <v>12</v>
      </c>
      <c r="G199">
        <v>1</v>
      </c>
      <c r="H199">
        <v>449.99</v>
      </c>
      <c r="I199">
        <v>449.99</v>
      </c>
      <c r="J199">
        <f t="shared" si="15"/>
        <v>112.4975</v>
      </c>
      <c r="L199" t="str">
        <f t="shared" si="16"/>
        <v>Jul</v>
      </c>
      <c r="M199">
        <f t="shared" si="17"/>
        <v>2024</v>
      </c>
      <c r="N199" t="str">
        <f t="shared" si="18"/>
        <v>Medium</v>
      </c>
      <c r="O199">
        <f t="shared" si="19"/>
        <v>0.25</v>
      </c>
    </row>
    <row r="200" spans="1:15" x14ac:dyDescent="0.3">
      <c r="A200">
        <v>10199</v>
      </c>
      <c r="B200" s="1">
        <v>45490</v>
      </c>
      <c r="C200" t="s">
        <v>9</v>
      </c>
      <c r="D200" t="s">
        <v>216</v>
      </c>
      <c r="E200" t="s">
        <v>11</v>
      </c>
      <c r="F200" t="s">
        <v>12</v>
      </c>
      <c r="G200">
        <v>2</v>
      </c>
      <c r="H200">
        <v>179</v>
      </c>
      <c r="I200">
        <v>358</v>
      </c>
      <c r="J200">
        <f t="shared" si="15"/>
        <v>89.5</v>
      </c>
      <c r="L200" t="str">
        <f t="shared" si="16"/>
        <v>Jul</v>
      </c>
      <c r="M200">
        <f t="shared" si="17"/>
        <v>2024</v>
      </c>
      <c r="N200" t="str">
        <f t="shared" si="18"/>
        <v>Medium</v>
      </c>
      <c r="O200">
        <f t="shared" si="19"/>
        <v>0.25</v>
      </c>
    </row>
    <row r="201" spans="1:15" x14ac:dyDescent="0.3">
      <c r="A201">
        <v>10200</v>
      </c>
      <c r="B201" s="1">
        <v>45491</v>
      </c>
      <c r="C201" t="s">
        <v>13</v>
      </c>
      <c r="D201" t="s">
        <v>217</v>
      </c>
      <c r="E201" t="s">
        <v>15</v>
      </c>
      <c r="F201" t="s">
        <v>16</v>
      </c>
      <c r="G201">
        <v>1</v>
      </c>
      <c r="H201">
        <v>99.95</v>
      </c>
      <c r="I201">
        <v>99.95</v>
      </c>
      <c r="J201">
        <f t="shared" si="15"/>
        <v>24.987500000000001</v>
      </c>
      <c r="L201" t="str">
        <f t="shared" si="16"/>
        <v>Jul</v>
      </c>
      <c r="M201">
        <f t="shared" si="17"/>
        <v>2024</v>
      </c>
      <c r="N201" t="str">
        <f t="shared" si="18"/>
        <v>Low</v>
      </c>
      <c r="O201">
        <f t="shared" si="19"/>
        <v>0.25</v>
      </c>
    </row>
    <row r="202" spans="1:15" x14ac:dyDescent="0.3">
      <c r="A202">
        <v>10201</v>
      </c>
      <c r="B202" s="1">
        <v>45492</v>
      </c>
      <c r="C202" t="s">
        <v>17</v>
      </c>
      <c r="D202" t="s">
        <v>218</v>
      </c>
      <c r="E202" t="s">
        <v>19</v>
      </c>
      <c r="F202" t="s">
        <v>20</v>
      </c>
      <c r="G202">
        <v>3</v>
      </c>
      <c r="H202">
        <v>59.99</v>
      </c>
      <c r="I202">
        <v>179.97</v>
      </c>
      <c r="J202">
        <f t="shared" si="15"/>
        <v>44.9925</v>
      </c>
      <c r="L202" t="str">
        <f t="shared" si="16"/>
        <v>Jul</v>
      </c>
      <c r="M202">
        <f t="shared" si="17"/>
        <v>2024</v>
      </c>
      <c r="N202" t="str">
        <f t="shared" si="18"/>
        <v>Medium</v>
      </c>
      <c r="O202">
        <f t="shared" si="19"/>
        <v>0.25</v>
      </c>
    </row>
    <row r="203" spans="1:15" x14ac:dyDescent="0.3">
      <c r="A203">
        <v>10202</v>
      </c>
      <c r="B203" s="1">
        <v>45493</v>
      </c>
      <c r="C203" t="s">
        <v>21</v>
      </c>
      <c r="D203" t="s">
        <v>219</v>
      </c>
      <c r="E203" t="s">
        <v>11</v>
      </c>
      <c r="F203" t="s">
        <v>12</v>
      </c>
      <c r="G203">
        <v>2</v>
      </c>
      <c r="H203">
        <v>14.99</v>
      </c>
      <c r="I203">
        <v>29.98</v>
      </c>
      <c r="J203">
        <f t="shared" si="15"/>
        <v>7.4950000000000001</v>
      </c>
      <c r="L203" t="str">
        <f t="shared" si="16"/>
        <v>Jul</v>
      </c>
      <c r="M203">
        <f t="shared" si="17"/>
        <v>2024</v>
      </c>
      <c r="N203" t="str">
        <f t="shared" si="18"/>
        <v>Low</v>
      </c>
      <c r="O203">
        <f t="shared" si="19"/>
        <v>0.25</v>
      </c>
    </row>
    <row r="204" spans="1:15" x14ac:dyDescent="0.3">
      <c r="A204">
        <v>10203</v>
      </c>
      <c r="B204" s="1">
        <v>45494</v>
      </c>
      <c r="C204" t="s">
        <v>23</v>
      </c>
      <c r="D204" t="s">
        <v>220</v>
      </c>
      <c r="E204" t="s">
        <v>15</v>
      </c>
      <c r="F204" t="s">
        <v>16</v>
      </c>
      <c r="G204">
        <v>1</v>
      </c>
      <c r="H204">
        <v>52</v>
      </c>
      <c r="I204">
        <v>52</v>
      </c>
      <c r="J204">
        <f t="shared" si="15"/>
        <v>13</v>
      </c>
      <c r="L204" t="str">
        <f t="shared" si="16"/>
        <v>Jul</v>
      </c>
      <c r="M204">
        <f t="shared" si="17"/>
        <v>2024</v>
      </c>
      <c r="N204" t="str">
        <f t="shared" si="18"/>
        <v>Low</v>
      </c>
      <c r="O204">
        <f t="shared" si="19"/>
        <v>0.25</v>
      </c>
    </row>
    <row r="205" spans="1:15" x14ac:dyDescent="0.3">
      <c r="A205">
        <v>10204</v>
      </c>
      <c r="B205" s="1">
        <v>45495</v>
      </c>
      <c r="C205" t="s">
        <v>25</v>
      </c>
      <c r="D205" t="s">
        <v>221</v>
      </c>
      <c r="E205" t="s">
        <v>19</v>
      </c>
      <c r="F205" t="s">
        <v>12</v>
      </c>
      <c r="G205">
        <v>1</v>
      </c>
      <c r="H205">
        <v>399.99</v>
      </c>
      <c r="I205">
        <v>399.99</v>
      </c>
      <c r="J205">
        <f t="shared" si="15"/>
        <v>99.997500000000002</v>
      </c>
      <c r="L205" t="str">
        <f t="shared" si="16"/>
        <v>Jul</v>
      </c>
      <c r="M205">
        <f t="shared" si="17"/>
        <v>2024</v>
      </c>
      <c r="N205" t="str">
        <f t="shared" si="18"/>
        <v>Medium</v>
      </c>
      <c r="O205">
        <f t="shared" si="19"/>
        <v>0.25</v>
      </c>
    </row>
    <row r="206" spans="1:15" x14ac:dyDescent="0.3">
      <c r="A206">
        <v>10205</v>
      </c>
      <c r="B206" s="1">
        <v>45496</v>
      </c>
      <c r="C206" t="s">
        <v>9</v>
      </c>
      <c r="D206" t="s">
        <v>222</v>
      </c>
      <c r="E206" t="s">
        <v>11</v>
      </c>
      <c r="F206" t="s">
        <v>12</v>
      </c>
      <c r="G206">
        <v>1</v>
      </c>
      <c r="H206">
        <v>299.99</v>
      </c>
      <c r="I206">
        <v>299.99</v>
      </c>
      <c r="J206">
        <f t="shared" si="15"/>
        <v>74.997500000000002</v>
      </c>
      <c r="L206" t="str">
        <f t="shared" si="16"/>
        <v>Jul</v>
      </c>
      <c r="M206">
        <f t="shared" si="17"/>
        <v>2024</v>
      </c>
      <c r="N206" t="str">
        <f t="shared" si="18"/>
        <v>Medium</v>
      </c>
      <c r="O206">
        <f t="shared" si="19"/>
        <v>0.25</v>
      </c>
    </row>
    <row r="207" spans="1:15" x14ac:dyDescent="0.3">
      <c r="A207">
        <v>10206</v>
      </c>
      <c r="B207" s="1">
        <v>45497</v>
      </c>
      <c r="C207" t="s">
        <v>13</v>
      </c>
      <c r="D207" t="s">
        <v>223</v>
      </c>
      <c r="E207" t="s">
        <v>15</v>
      </c>
      <c r="F207" t="s">
        <v>16</v>
      </c>
      <c r="G207">
        <v>1</v>
      </c>
      <c r="H207">
        <v>379.99</v>
      </c>
      <c r="I207">
        <v>379.99</v>
      </c>
      <c r="J207">
        <f t="shared" si="15"/>
        <v>94.997500000000002</v>
      </c>
      <c r="L207" t="str">
        <f t="shared" si="16"/>
        <v>Jul</v>
      </c>
      <c r="M207">
        <f t="shared" si="17"/>
        <v>2024</v>
      </c>
      <c r="N207" t="str">
        <f t="shared" si="18"/>
        <v>Medium</v>
      </c>
      <c r="O207">
        <f t="shared" si="19"/>
        <v>0.25</v>
      </c>
    </row>
    <row r="208" spans="1:15" x14ac:dyDescent="0.3">
      <c r="A208">
        <v>10207</v>
      </c>
      <c r="B208" s="1">
        <v>45498</v>
      </c>
      <c r="C208" t="s">
        <v>17</v>
      </c>
      <c r="D208" t="s">
        <v>224</v>
      </c>
      <c r="E208" t="s">
        <v>19</v>
      </c>
      <c r="F208" t="s">
        <v>20</v>
      </c>
      <c r="G208">
        <v>2</v>
      </c>
      <c r="H208">
        <v>98</v>
      </c>
      <c r="I208">
        <v>196</v>
      </c>
      <c r="J208">
        <f t="shared" si="15"/>
        <v>49</v>
      </c>
      <c r="L208" t="str">
        <f t="shared" si="16"/>
        <v>Jul</v>
      </c>
      <c r="M208">
        <f t="shared" si="17"/>
        <v>2024</v>
      </c>
      <c r="N208" t="str">
        <f t="shared" si="18"/>
        <v>Medium</v>
      </c>
      <c r="O208">
        <f t="shared" si="19"/>
        <v>0.25</v>
      </c>
    </row>
    <row r="209" spans="1:15" x14ac:dyDescent="0.3">
      <c r="A209">
        <v>10208</v>
      </c>
      <c r="B209" s="1">
        <v>45499</v>
      </c>
      <c r="C209" t="s">
        <v>21</v>
      </c>
      <c r="D209" t="s">
        <v>225</v>
      </c>
      <c r="E209" t="s">
        <v>11</v>
      </c>
      <c r="F209" t="s">
        <v>12</v>
      </c>
      <c r="G209">
        <v>3</v>
      </c>
      <c r="H209">
        <v>16.989999999999998</v>
      </c>
      <c r="I209">
        <v>50.97</v>
      </c>
      <c r="J209">
        <f t="shared" si="15"/>
        <v>12.7425</v>
      </c>
      <c r="L209" t="str">
        <f t="shared" si="16"/>
        <v>Jul</v>
      </c>
      <c r="M209">
        <f t="shared" si="17"/>
        <v>2024</v>
      </c>
      <c r="N209" t="str">
        <f t="shared" si="18"/>
        <v>Low</v>
      </c>
      <c r="O209">
        <f t="shared" si="19"/>
        <v>0.25</v>
      </c>
    </row>
    <row r="210" spans="1:15" x14ac:dyDescent="0.3">
      <c r="A210">
        <v>10209</v>
      </c>
      <c r="B210" s="1">
        <v>45500</v>
      </c>
      <c r="C210" t="s">
        <v>23</v>
      </c>
      <c r="D210" t="s">
        <v>226</v>
      </c>
      <c r="E210" t="s">
        <v>15</v>
      </c>
      <c r="F210" t="s">
        <v>16</v>
      </c>
      <c r="G210">
        <v>1</v>
      </c>
      <c r="H210">
        <v>79</v>
      </c>
      <c r="I210">
        <v>79</v>
      </c>
      <c r="J210">
        <f t="shared" si="15"/>
        <v>19.75</v>
      </c>
      <c r="L210" t="str">
        <f t="shared" si="16"/>
        <v>Jul</v>
      </c>
      <c r="M210">
        <f t="shared" si="17"/>
        <v>2024</v>
      </c>
      <c r="N210" t="str">
        <f t="shared" si="18"/>
        <v>Low</v>
      </c>
      <c r="O210">
        <f t="shared" si="19"/>
        <v>0.25</v>
      </c>
    </row>
    <row r="211" spans="1:15" x14ac:dyDescent="0.3">
      <c r="A211">
        <v>10210</v>
      </c>
      <c r="B211" s="1">
        <v>45501</v>
      </c>
      <c r="C211" t="s">
        <v>25</v>
      </c>
      <c r="D211" t="s">
        <v>227</v>
      </c>
      <c r="E211" t="s">
        <v>19</v>
      </c>
      <c r="F211" t="s">
        <v>12</v>
      </c>
      <c r="G211">
        <v>1</v>
      </c>
      <c r="H211">
        <v>129</v>
      </c>
      <c r="I211">
        <v>129</v>
      </c>
      <c r="J211">
        <f t="shared" si="15"/>
        <v>32.25</v>
      </c>
      <c r="L211" t="str">
        <f t="shared" si="16"/>
        <v>Jul</v>
      </c>
      <c r="M211">
        <f t="shared" si="17"/>
        <v>2024</v>
      </c>
      <c r="N211" t="str">
        <f t="shared" si="18"/>
        <v>Medium</v>
      </c>
      <c r="O211">
        <f t="shared" si="19"/>
        <v>0.25</v>
      </c>
    </row>
    <row r="212" spans="1:15" x14ac:dyDescent="0.3">
      <c r="A212">
        <v>10211</v>
      </c>
      <c r="B212" s="1">
        <v>45502</v>
      </c>
      <c r="C212" t="s">
        <v>9</v>
      </c>
      <c r="D212" t="s">
        <v>228</v>
      </c>
      <c r="E212" t="s">
        <v>11</v>
      </c>
      <c r="F212" t="s">
        <v>12</v>
      </c>
      <c r="G212">
        <v>1</v>
      </c>
      <c r="H212">
        <v>749.99</v>
      </c>
      <c r="I212">
        <v>749.99</v>
      </c>
      <c r="J212">
        <f t="shared" si="15"/>
        <v>187.4975</v>
      </c>
      <c r="L212" t="str">
        <f t="shared" si="16"/>
        <v>Jul</v>
      </c>
      <c r="M212">
        <f t="shared" si="17"/>
        <v>2024</v>
      </c>
      <c r="N212" t="str">
        <f t="shared" si="18"/>
        <v>High</v>
      </c>
      <c r="O212">
        <f t="shared" si="19"/>
        <v>0.25</v>
      </c>
    </row>
    <row r="213" spans="1:15" x14ac:dyDescent="0.3">
      <c r="A213">
        <v>10212</v>
      </c>
      <c r="B213" s="1">
        <v>45503</v>
      </c>
      <c r="C213" t="s">
        <v>13</v>
      </c>
      <c r="D213" t="s">
        <v>34</v>
      </c>
      <c r="E213" t="s">
        <v>15</v>
      </c>
      <c r="F213" t="s">
        <v>16</v>
      </c>
      <c r="G213">
        <v>2</v>
      </c>
      <c r="H213">
        <v>169.99</v>
      </c>
      <c r="I213">
        <v>339.98</v>
      </c>
      <c r="J213">
        <f t="shared" si="15"/>
        <v>84.995000000000005</v>
      </c>
      <c r="L213" t="str">
        <f t="shared" si="16"/>
        <v>Jul</v>
      </c>
      <c r="M213">
        <f t="shared" si="17"/>
        <v>2024</v>
      </c>
      <c r="N213" t="str">
        <f t="shared" si="18"/>
        <v>Medium</v>
      </c>
      <c r="O213">
        <f t="shared" si="19"/>
        <v>0.25</v>
      </c>
    </row>
    <row r="214" spans="1:15" x14ac:dyDescent="0.3">
      <c r="A214">
        <v>10213</v>
      </c>
      <c r="B214" s="1">
        <v>45504</v>
      </c>
      <c r="C214" t="s">
        <v>17</v>
      </c>
      <c r="D214" t="s">
        <v>229</v>
      </c>
      <c r="E214" t="s">
        <v>19</v>
      </c>
      <c r="F214" t="s">
        <v>20</v>
      </c>
      <c r="G214">
        <v>4</v>
      </c>
      <c r="H214">
        <v>9.9</v>
      </c>
      <c r="I214">
        <v>39.6</v>
      </c>
      <c r="J214">
        <f t="shared" si="15"/>
        <v>9.9</v>
      </c>
      <c r="L214" t="str">
        <f t="shared" si="16"/>
        <v>Jul</v>
      </c>
      <c r="M214">
        <f t="shared" si="17"/>
        <v>2024</v>
      </c>
      <c r="N214" t="str">
        <f t="shared" si="18"/>
        <v>Low</v>
      </c>
      <c r="O214">
        <f t="shared" si="19"/>
        <v>0.25</v>
      </c>
    </row>
    <row r="215" spans="1:15" x14ac:dyDescent="0.3">
      <c r="A215">
        <v>10214</v>
      </c>
      <c r="B215" s="1">
        <v>45505</v>
      </c>
      <c r="C215" t="s">
        <v>21</v>
      </c>
      <c r="D215" t="s">
        <v>190</v>
      </c>
      <c r="E215" t="s">
        <v>11</v>
      </c>
      <c r="F215" t="s">
        <v>12</v>
      </c>
      <c r="G215">
        <v>3</v>
      </c>
      <c r="H215">
        <v>10.99</v>
      </c>
      <c r="I215">
        <v>32.97</v>
      </c>
      <c r="J215">
        <f t="shared" si="15"/>
        <v>8.2424999999999997</v>
      </c>
      <c r="L215" t="str">
        <f t="shared" si="16"/>
        <v>Aug</v>
      </c>
      <c r="M215">
        <f t="shared" si="17"/>
        <v>2024</v>
      </c>
      <c r="N215" t="str">
        <f t="shared" si="18"/>
        <v>Low</v>
      </c>
      <c r="O215">
        <f t="shared" si="19"/>
        <v>0.25</v>
      </c>
    </row>
    <row r="216" spans="1:15" x14ac:dyDescent="0.3">
      <c r="A216">
        <v>10215</v>
      </c>
      <c r="B216" s="1">
        <v>45506</v>
      </c>
      <c r="C216" t="s">
        <v>23</v>
      </c>
      <c r="D216" t="s">
        <v>230</v>
      </c>
      <c r="E216" t="s">
        <v>15</v>
      </c>
      <c r="F216" t="s">
        <v>16</v>
      </c>
      <c r="G216">
        <v>2</v>
      </c>
      <c r="H216">
        <v>29</v>
      </c>
      <c r="I216">
        <v>58</v>
      </c>
      <c r="J216">
        <f t="shared" si="15"/>
        <v>14.5</v>
      </c>
      <c r="L216" t="str">
        <f t="shared" si="16"/>
        <v>Aug</v>
      </c>
      <c r="M216">
        <f t="shared" si="17"/>
        <v>2024</v>
      </c>
      <c r="N216" t="str">
        <f t="shared" si="18"/>
        <v>Low</v>
      </c>
      <c r="O216">
        <f t="shared" si="19"/>
        <v>0.25</v>
      </c>
    </row>
    <row r="217" spans="1:15" x14ac:dyDescent="0.3">
      <c r="A217">
        <v>10216</v>
      </c>
      <c r="B217" s="1">
        <v>45507</v>
      </c>
      <c r="C217" t="s">
        <v>25</v>
      </c>
      <c r="D217" t="s">
        <v>231</v>
      </c>
      <c r="E217" t="s">
        <v>19</v>
      </c>
      <c r="F217" t="s">
        <v>12</v>
      </c>
      <c r="G217">
        <v>1</v>
      </c>
      <c r="H217">
        <v>349.99</v>
      </c>
      <c r="I217">
        <v>349.99</v>
      </c>
      <c r="J217">
        <f t="shared" si="15"/>
        <v>87.497500000000002</v>
      </c>
      <c r="L217" t="str">
        <f t="shared" si="16"/>
        <v>Aug</v>
      </c>
      <c r="M217">
        <f t="shared" si="17"/>
        <v>2024</v>
      </c>
      <c r="N217" t="str">
        <f t="shared" si="18"/>
        <v>Medium</v>
      </c>
      <c r="O217">
        <f t="shared" si="19"/>
        <v>0.25</v>
      </c>
    </row>
    <row r="218" spans="1:15" x14ac:dyDescent="0.3">
      <c r="A218">
        <v>10217</v>
      </c>
      <c r="B218" s="1">
        <v>45508</v>
      </c>
      <c r="C218" t="s">
        <v>9</v>
      </c>
      <c r="D218" t="s">
        <v>232</v>
      </c>
      <c r="E218" t="s">
        <v>11</v>
      </c>
      <c r="F218" t="s">
        <v>12</v>
      </c>
      <c r="G218">
        <v>1</v>
      </c>
      <c r="H218">
        <v>2399</v>
      </c>
      <c r="I218">
        <v>2399</v>
      </c>
      <c r="J218">
        <f t="shared" si="15"/>
        <v>599.75</v>
      </c>
      <c r="L218" t="str">
        <f t="shared" si="16"/>
        <v>Aug</v>
      </c>
      <c r="M218">
        <f t="shared" si="17"/>
        <v>2024</v>
      </c>
      <c r="N218" t="str">
        <f t="shared" si="18"/>
        <v>High</v>
      </c>
      <c r="O218">
        <f t="shared" si="19"/>
        <v>0.25</v>
      </c>
    </row>
    <row r="219" spans="1:15" x14ac:dyDescent="0.3">
      <c r="A219">
        <v>10218</v>
      </c>
      <c r="B219" s="1">
        <v>45509</v>
      </c>
      <c r="C219" t="s">
        <v>13</v>
      </c>
      <c r="D219" t="s">
        <v>233</v>
      </c>
      <c r="E219" t="s">
        <v>15</v>
      </c>
      <c r="F219" t="s">
        <v>16</v>
      </c>
      <c r="G219">
        <v>1</v>
      </c>
      <c r="H219">
        <v>449.99</v>
      </c>
      <c r="I219">
        <v>449.99</v>
      </c>
      <c r="J219">
        <f t="shared" si="15"/>
        <v>112.4975</v>
      </c>
      <c r="L219" t="str">
        <f t="shared" si="16"/>
        <v>Aug</v>
      </c>
      <c r="M219">
        <f t="shared" si="17"/>
        <v>2024</v>
      </c>
      <c r="N219" t="str">
        <f t="shared" si="18"/>
        <v>Medium</v>
      </c>
      <c r="O219">
        <f t="shared" si="19"/>
        <v>0.25</v>
      </c>
    </row>
    <row r="220" spans="1:15" x14ac:dyDescent="0.3">
      <c r="A220">
        <v>10219</v>
      </c>
      <c r="B220" s="1">
        <v>45510</v>
      </c>
      <c r="C220" t="s">
        <v>17</v>
      </c>
      <c r="D220" t="s">
        <v>234</v>
      </c>
      <c r="E220" t="s">
        <v>19</v>
      </c>
      <c r="F220" t="s">
        <v>20</v>
      </c>
      <c r="G220">
        <v>3</v>
      </c>
      <c r="H220">
        <v>49.99</v>
      </c>
      <c r="I220">
        <v>149.97</v>
      </c>
      <c r="J220">
        <f t="shared" si="15"/>
        <v>37.4925</v>
      </c>
      <c r="L220" t="str">
        <f t="shared" si="16"/>
        <v>Aug</v>
      </c>
      <c r="M220">
        <f t="shared" si="17"/>
        <v>2024</v>
      </c>
      <c r="N220" t="str">
        <f t="shared" si="18"/>
        <v>Medium</v>
      </c>
      <c r="O220">
        <f t="shared" si="19"/>
        <v>0.25</v>
      </c>
    </row>
    <row r="221" spans="1:15" x14ac:dyDescent="0.3">
      <c r="A221">
        <v>10220</v>
      </c>
      <c r="B221" s="1">
        <v>45511</v>
      </c>
      <c r="C221" t="s">
        <v>21</v>
      </c>
      <c r="D221" t="s">
        <v>235</v>
      </c>
      <c r="E221" t="s">
        <v>11</v>
      </c>
      <c r="F221" t="s">
        <v>12</v>
      </c>
      <c r="G221">
        <v>2</v>
      </c>
      <c r="H221">
        <v>12.99</v>
      </c>
      <c r="I221">
        <v>25.98</v>
      </c>
      <c r="J221">
        <f t="shared" si="15"/>
        <v>6.4950000000000001</v>
      </c>
      <c r="L221" t="str">
        <f t="shared" si="16"/>
        <v>Aug</v>
      </c>
      <c r="M221">
        <f t="shared" si="17"/>
        <v>2024</v>
      </c>
      <c r="N221" t="str">
        <f t="shared" si="18"/>
        <v>Low</v>
      </c>
      <c r="O221">
        <f t="shared" si="19"/>
        <v>0.25</v>
      </c>
    </row>
    <row r="222" spans="1:15" x14ac:dyDescent="0.3">
      <c r="A222">
        <v>10221</v>
      </c>
      <c r="B222" s="1">
        <v>45512</v>
      </c>
      <c r="C222" t="s">
        <v>23</v>
      </c>
      <c r="D222" t="s">
        <v>236</v>
      </c>
      <c r="E222" t="s">
        <v>15</v>
      </c>
      <c r="F222" t="s">
        <v>16</v>
      </c>
      <c r="G222">
        <v>1</v>
      </c>
      <c r="H222">
        <v>27</v>
      </c>
      <c r="I222">
        <v>27</v>
      </c>
      <c r="J222">
        <f t="shared" si="15"/>
        <v>6.75</v>
      </c>
      <c r="L222" t="str">
        <f t="shared" si="16"/>
        <v>Aug</v>
      </c>
      <c r="M222">
        <f t="shared" si="17"/>
        <v>2024</v>
      </c>
      <c r="N222" t="str">
        <f t="shared" si="18"/>
        <v>Low</v>
      </c>
      <c r="O222">
        <f t="shared" si="19"/>
        <v>0.25</v>
      </c>
    </row>
    <row r="223" spans="1:15" x14ac:dyDescent="0.3">
      <c r="A223">
        <v>10222</v>
      </c>
      <c r="B223" s="1">
        <v>45513</v>
      </c>
      <c r="C223" t="s">
        <v>25</v>
      </c>
      <c r="D223" t="s">
        <v>39</v>
      </c>
      <c r="E223" t="s">
        <v>19</v>
      </c>
      <c r="F223" t="s">
        <v>12</v>
      </c>
      <c r="G223">
        <v>1</v>
      </c>
      <c r="H223">
        <v>599.99</v>
      </c>
      <c r="I223">
        <v>599.99</v>
      </c>
      <c r="J223">
        <f t="shared" si="15"/>
        <v>149.9975</v>
      </c>
      <c r="L223" t="str">
        <f t="shared" si="16"/>
        <v>Aug</v>
      </c>
      <c r="M223">
        <f t="shared" si="17"/>
        <v>2024</v>
      </c>
      <c r="N223" t="str">
        <f t="shared" si="18"/>
        <v>High</v>
      </c>
      <c r="O223">
        <f t="shared" si="19"/>
        <v>0.25</v>
      </c>
    </row>
    <row r="224" spans="1:15" x14ac:dyDescent="0.3">
      <c r="A224">
        <v>10223</v>
      </c>
      <c r="B224" s="1">
        <v>45514</v>
      </c>
      <c r="C224" t="s">
        <v>9</v>
      </c>
      <c r="D224" t="s">
        <v>237</v>
      </c>
      <c r="E224" t="s">
        <v>11</v>
      </c>
      <c r="F224" t="s">
        <v>12</v>
      </c>
      <c r="G224">
        <v>4</v>
      </c>
      <c r="H224">
        <v>49.99</v>
      </c>
      <c r="I224">
        <v>199.96</v>
      </c>
      <c r="J224">
        <f t="shared" si="15"/>
        <v>49.99</v>
      </c>
      <c r="L224" t="str">
        <f t="shared" si="16"/>
        <v>Aug</v>
      </c>
      <c r="M224">
        <f t="shared" si="17"/>
        <v>2024</v>
      </c>
      <c r="N224" t="str">
        <f t="shared" si="18"/>
        <v>Medium</v>
      </c>
      <c r="O224">
        <f t="shared" si="19"/>
        <v>0.25</v>
      </c>
    </row>
    <row r="225" spans="1:15" x14ac:dyDescent="0.3">
      <c r="A225">
        <v>10224</v>
      </c>
      <c r="B225" s="1">
        <v>45515</v>
      </c>
      <c r="C225" t="s">
        <v>13</v>
      </c>
      <c r="D225" t="s">
        <v>238</v>
      </c>
      <c r="E225" t="s">
        <v>15</v>
      </c>
      <c r="F225" t="s">
        <v>16</v>
      </c>
      <c r="G225">
        <v>2</v>
      </c>
      <c r="H225">
        <v>229.99</v>
      </c>
      <c r="I225">
        <v>459.98</v>
      </c>
      <c r="J225">
        <f t="shared" si="15"/>
        <v>114.995</v>
      </c>
      <c r="L225" t="str">
        <f t="shared" si="16"/>
        <v>Aug</v>
      </c>
      <c r="M225">
        <f t="shared" si="17"/>
        <v>2024</v>
      </c>
      <c r="N225" t="str">
        <f t="shared" si="18"/>
        <v>Medium</v>
      </c>
      <c r="O225">
        <f t="shared" si="19"/>
        <v>0.25</v>
      </c>
    </row>
    <row r="226" spans="1:15" x14ac:dyDescent="0.3">
      <c r="A226">
        <v>10225</v>
      </c>
      <c r="B226" s="1">
        <v>45516</v>
      </c>
      <c r="C226" t="s">
        <v>17</v>
      </c>
      <c r="D226" t="s">
        <v>239</v>
      </c>
      <c r="E226" t="s">
        <v>19</v>
      </c>
      <c r="F226" t="s">
        <v>20</v>
      </c>
      <c r="G226">
        <v>2</v>
      </c>
      <c r="H226">
        <v>44.99</v>
      </c>
      <c r="I226">
        <v>89.98</v>
      </c>
      <c r="J226">
        <f t="shared" si="15"/>
        <v>22.495000000000001</v>
      </c>
      <c r="L226" t="str">
        <f t="shared" si="16"/>
        <v>Aug</v>
      </c>
      <c r="M226">
        <f t="shared" si="17"/>
        <v>2024</v>
      </c>
      <c r="N226" t="str">
        <f t="shared" si="18"/>
        <v>Low</v>
      </c>
      <c r="O226">
        <f t="shared" si="19"/>
        <v>0.25</v>
      </c>
    </row>
    <row r="227" spans="1:15" x14ac:dyDescent="0.3">
      <c r="A227">
        <v>10226</v>
      </c>
      <c r="B227" s="1">
        <v>45517</v>
      </c>
      <c r="C227" t="s">
        <v>21</v>
      </c>
      <c r="D227" t="s">
        <v>72</v>
      </c>
      <c r="E227" t="s">
        <v>11</v>
      </c>
      <c r="F227" t="s">
        <v>12</v>
      </c>
      <c r="G227">
        <v>3</v>
      </c>
      <c r="H227">
        <v>26.99</v>
      </c>
      <c r="I227">
        <v>80.97</v>
      </c>
      <c r="J227">
        <f t="shared" si="15"/>
        <v>20.2425</v>
      </c>
      <c r="L227" t="str">
        <f t="shared" si="16"/>
        <v>Aug</v>
      </c>
      <c r="M227">
        <f t="shared" si="17"/>
        <v>2024</v>
      </c>
      <c r="N227" t="str">
        <f t="shared" si="18"/>
        <v>Low</v>
      </c>
      <c r="O227">
        <f t="shared" si="19"/>
        <v>0.25</v>
      </c>
    </row>
    <row r="228" spans="1:15" x14ac:dyDescent="0.3">
      <c r="A228">
        <v>10227</v>
      </c>
      <c r="B228" s="1">
        <v>45518</v>
      </c>
      <c r="C228" t="s">
        <v>23</v>
      </c>
      <c r="D228" t="s">
        <v>240</v>
      </c>
      <c r="E228" t="s">
        <v>15</v>
      </c>
      <c r="F228" t="s">
        <v>16</v>
      </c>
      <c r="G228">
        <v>1</v>
      </c>
      <c r="H228">
        <v>6.7</v>
      </c>
      <c r="I228">
        <v>6.7</v>
      </c>
      <c r="J228">
        <f t="shared" si="15"/>
        <v>1.675</v>
      </c>
      <c r="L228" t="str">
        <f t="shared" si="16"/>
        <v>Aug</v>
      </c>
      <c r="M228">
        <f t="shared" si="17"/>
        <v>2024</v>
      </c>
      <c r="N228" t="str">
        <f t="shared" si="18"/>
        <v>Low</v>
      </c>
      <c r="O228">
        <f t="shared" si="19"/>
        <v>0.25</v>
      </c>
    </row>
    <row r="229" spans="1:15" x14ac:dyDescent="0.3">
      <c r="A229">
        <v>10228</v>
      </c>
      <c r="B229" s="1">
        <v>45519</v>
      </c>
      <c r="C229" t="s">
        <v>25</v>
      </c>
      <c r="D229" t="s">
        <v>241</v>
      </c>
      <c r="E229" t="s">
        <v>19</v>
      </c>
      <c r="F229" t="s">
        <v>12</v>
      </c>
      <c r="G229">
        <v>2</v>
      </c>
      <c r="H229">
        <v>149.94999999999999</v>
      </c>
      <c r="I229">
        <v>299.89999999999998</v>
      </c>
      <c r="J229">
        <f t="shared" si="15"/>
        <v>74.974999999999994</v>
      </c>
      <c r="L229" t="str">
        <f t="shared" si="16"/>
        <v>Aug</v>
      </c>
      <c r="M229">
        <f t="shared" si="17"/>
        <v>2024</v>
      </c>
      <c r="N229" t="str">
        <f t="shared" si="18"/>
        <v>Medium</v>
      </c>
      <c r="O229">
        <f t="shared" si="19"/>
        <v>0.25</v>
      </c>
    </row>
    <row r="230" spans="1:15" x14ac:dyDescent="0.3">
      <c r="A230">
        <v>10229</v>
      </c>
      <c r="B230" s="1">
        <v>45520</v>
      </c>
      <c r="C230" t="s">
        <v>9</v>
      </c>
      <c r="D230" t="s">
        <v>242</v>
      </c>
      <c r="E230" t="s">
        <v>11</v>
      </c>
      <c r="F230" t="s">
        <v>12</v>
      </c>
      <c r="G230">
        <v>1</v>
      </c>
      <c r="H230">
        <v>169</v>
      </c>
      <c r="I230">
        <v>169</v>
      </c>
      <c r="J230">
        <f t="shared" si="15"/>
        <v>42.25</v>
      </c>
      <c r="L230" t="str">
        <f t="shared" si="16"/>
        <v>Aug</v>
      </c>
      <c r="M230">
        <f t="shared" si="17"/>
        <v>2024</v>
      </c>
      <c r="N230" t="str">
        <f t="shared" si="18"/>
        <v>Medium</v>
      </c>
      <c r="O230">
        <f t="shared" si="19"/>
        <v>0.25</v>
      </c>
    </row>
    <row r="231" spans="1:15" x14ac:dyDescent="0.3">
      <c r="A231">
        <v>10230</v>
      </c>
      <c r="B231" s="1">
        <v>45521</v>
      </c>
      <c r="C231" t="s">
        <v>13</v>
      </c>
      <c r="D231" t="s">
        <v>243</v>
      </c>
      <c r="E231" t="s">
        <v>15</v>
      </c>
      <c r="F231" t="s">
        <v>16</v>
      </c>
      <c r="G231">
        <v>1</v>
      </c>
      <c r="H231">
        <v>599</v>
      </c>
      <c r="I231">
        <v>599</v>
      </c>
      <c r="J231">
        <f t="shared" si="15"/>
        <v>149.75</v>
      </c>
      <c r="L231" t="str">
        <f t="shared" si="16"/>
        <v>Aug</v>
      </c>
      <c r="M231">
        <f t="shared" si="17"/>
        <v>2024</v>
      </c>
      <c r="N231" t="str">
        <f t="shared" si="18"/>
        <v>High</v>
      </c>
      <c r="O231">
        <f t="shared" si="19"/>
        <v>0.25</v>
      </c>
    </row>
    <row r="232" spans="1:15" x14ac:dyDescent="0.3">
      <c r="A232">
        <v>10231</v>
      </c>
      <c r="B232" s="1">
        <v>45522</v>
      </c>
      <c r="C232" t="s">
        <v>17</v>
      </c>
      <c r="D232" t="s">
        <v>244</v>
      </c>
      <c r="E232" t="s">
        <v>19</v>
      </c>
      <c r="F232" t="s">
        <v>20</v>
      </c>
      <c r="G232">
        <v>4</v>
      </c>
      <c r="H232">
        <v>64.989999999999995</v>
      </c>
      <c r="I232">
        <v>259.95999999999998</v>
      </c>
      <c r="J232">
        <f t="shared" si="15"/>
        <v>64.989999999999995</v>
      </c>
      <c r="L232" t="str">
        <f t="shared" si="16"/>
        <v>Aug</v>
      </c>
      <c r="M232">
        <f t="shared" si="17"/>
        <v>2024</v>
      </c>
      <c r="N232" t="str">
        <f t="shared" si="18"/>
        <v>Medium</v>
      </c>
      <c r="O232">
        <f t="shared" si="19"/>
        <v>0.25</v>
      </c>
    </row>
    <row r="233" spans="1:15" x14ac:dyDescent="0.3">
      <c r="A233">
        <v>10232</v>
      </c>
      <c r="B233" s="1">
        <v>45523</v>
      </c>
      <c r="C233" t="s">
        <v>21</v>
      </c>
      <c r="D233" t="s">
        <v>30</v>
      </c>
      <c r="E233" t="s">
        <v>11</v>
      </c>
      <c r="F233" t="s">
        <v>12</v>
      </c>
      <c r="G233">
        <v>2</v>
      </c>
      <c r="H233">
        <v>9.99</v>
      </c>
      <c r="I233">
        <v>19.98</v>
      </c>
      <c r="J233">
        <f t="shared" si="15"/>
        <v>4.9950000000000001</v>
      </c>
      <c r="L233" t="str">
        <f t="shared" si="16"/>
        <v>Aug</v>
      </c>
      <c r="M233">
        <f t="shared" si="17"/>
        <v>2024</v>
      </c>
      <c r="N233" t="str">
        <f t="shared" si="18"/>
        <v>Low</v>
      </c>
      <c r="O233">
        <f t="shared" si="19"/>
        <v>0.25</v>
      </c>
    </row>
    <row r="234" spans="1:15" x14ac:dyDescent="0.3">
      <c r="A234">
        <v>10233</v>
      </c>
      <c r="B234" s="1">
        <v>45524</v>
      </c>
      <c r="C234" t="s">
        <v>23</v>
      </c>
      <c r="D234" t="s">
        <v>245</v>
      </c>
      <c r="E234" t="s">
        <v>15</v>
      </c>
      <c r="F234" t="s">
        <v>16</v>
      </c>
      <c r="G234">
        <v>1</v>
      </c>
      <c r="H234">
        <v>24</v>
      </c>
      <c r="I234">
        <v>24</v>
      </c>
      <c r="J234">
        <f t="shared" si="15"/>
        <v>6</v>
      </c>
      <c r="L234" t="str">
        <f t="shared" si="16"/>
        <v>Aug</v>
      </c>
      <c r="M234">
        <f t="shared" si="17"/>
        <v>2024</v>
      </c>
      <c r="N234" t="str">
        <f t="shared" si="18"/>
        <v>Low</v>
      </c>
      <c r="O234">
        <f t="shared" si="19"/>
        <v>0.25</v>
      </c>
    </row>
    <row r="235" spans="1:15" x14ac:dyDescent="0.3">
      <c r="A235">
        <v>10234</v>
      </c>
      <c r="B235" s="1">
        <v>45525</v>
      </c>
      <c r="C235" t="s">
        <v>25</v>
      </c>
      <c r="D235" t="s">
        <v>246</v>
      </c>
      <c r="E235" t="s">
        <v>19</v>
      </c>
      <c r="F235" t="s">
        <v>12</v>
      </c>
      <c r="G235">
        <v>3</v>
      </c>
      <c r="H235">
        <v>32.950000000000003</v>
      </c>
      <c r="I235">
        <v>98.85</v>
      </c>
      <c r="J235">
        <f t="shared" si="15"/>
        <v>24.712499999999999</v>
      </c>
      <c r="L235" t="str">
        <f t="shared" si="16"/>
        <v>Aug</v>
      </c>
      <c r="M235">
        <f t="shared" si="17"/>
        <v>2024</v>
      </c>
      <c r="N235" t="str">
        <f t="shared" si="18"/>
        <v>Low</v>
      </c>
      <c r="O235">
        <f t="shared" si="19"/>
        <v>0.25</v>
      </c>
    </row>
    <row r="236" spans="1:15" x14ac:dyDescent="0.3">
      <c r="A236">
        <v>10235</v>
      </c>
      <c r="B236" s="1">
        <v>45526</v>
      </c>
      <c r="C236" t="s">
        <v>9</v>
      </c>
      <c r="D236" t="s">
        <v>247</v>
      </c>
      <c r="E236" t="s">
        <v>11</v>
      </c>
      <c r="F236" t="s">
        <v>12</v>
      </c>
      <c r="G236">
        <v>1</v>
      </c>
      <c r="H236">
        <v>299</v>
      </c>
      <c r="I236">
        <v>299</v>
      </c>
      <c r="J236">
        <f t="shared" si="15"/>
        <v>74.75</v>
      </c>
      <c r="L236" t="str">
        <f t="shared" si="16"/>
        <v>Aug</v>
      </c>
      <c r="M236">
        <f t="shared" si="17"/>
        <v>2024</v>
      </c>
      <c r="N236" t="str">
        <f t="shared" si="18"/>
        <v>Medium</v>
      </c>
      <c r="O236">
        <f t="shared" si="19"/>
        <v>0.25</v>
      </c>
    </row>
    <row r="237" spans="1:15" x14ac:dyDescent="0.3">
      <c r="A237">
        <v>10236</v>
      </c>
      <c r="B237" s="1">
        <v>45527</v>
      </c>
      <c r="C237" t="s">
        <v>13</v>
      </c>
      <c r="D237" t="s">
        <v>248</v>
      </c>
      <c r="E237" t="s">
        <v>15</v>
      </c>
      <c r="F237" t="s">
        <v>16</v>
      </c>
      <c r="G237">
        <v>1</v>
      </c>
      <c r="H237">
        <v>159.99</v>
      </c>
      <c r="I237">
        <v>159.99</v>
      </c>
      <c r="J237">
        <f t="shared" si="15"/>
        <v>39.997500000000002</v>
      </c>
      <c r="L237" t="str">
        <f t="shared" si="16"/>
        <v>Aug</v>
      </c>
      <c r="M237">
        <f t="shared" si="17"/>
        <v>2024</v>
      </c>
      <c r="N237" t="str">
        <f t="shared" si="18"/>
        <v>Medium</v>
      </c>
      <c r="O237">
        <f t="shared" si="19"/>
        <v>0.25</v>
      </c>
    </row>
    <row r="238" spans="1:15" x14ac:dyDescent="0.3">
      <c r="A238">
        <v>10237</v>
      </c>
      <c r="B238" s="1">
        <v>45528</v>
      </c>
      <c r="C238" t="s">
        <v>17</v>
      </c>
      <c r="D238" t="s">
        <v>249</v>
      </c>
      <c r="E238" t="s">
        <v>19</v>
      </c>
      <c r="F238" t="s">
        <v>20</v>
      </c>
      <c r="G238">
        <v>3</v>
      </c>
      <c r="H238">
        <v>90</v>
      </c>
      <c r="I238">
        <v>270</v>
      </c>
      <c r="J238">
        <f t="shared" si="15"/>
        <v>67.5</v>
      </c>
      <c r="L238" t="str">
        <f t="shared" si="16"/>
        <v>Aug</v>
      </c>
      <c r="M238">
        <f t="shared" si="17"/>
        <v>2024</v>
      </c>
      <c r="N238" t="str">
        <f t="shared" si="18"/>
        <v>Medium</v>
      </c>
      <c r="O238">
        <f t="shared" si="19"/>
        <v>0.25</v>
      </c>
    </row>
    <row r="239" spans="1:15" x14ac:dyDescent="0.3">
      <c r="A239">
        <v>10238</v>
      </c>
      <c r="B239" s="1">
        <v>45529</v>
      </c>
      <c r="C239" t="s">
        <v>21</v>
      </c>
      <c r="D239" t="s">
        <v>250</v>
      </c>
      <c r="E239" t="s">
        <v>11</v>
      </c>
      <c r="F239" t="s">
        <v>12</v>
      </c>
      <c r="G239">
        <v>3</v>
      </c>
      <c r="H239">
        <v>10.99</v>
      </c>
      <c r="I239">
        <v>32.97</v>
      </c>
      <c r="J239">
        <f t="shared" si="15"/>
        <v>8.2424999999999997</v>
      </c>
      <c r="L239" t="str">
        <f t="shared" si="16"/>
        <v>Aug</v>
      </c>
      <c r="M239">
        <f t="shared" si="17"/>
        <v>2024</v>
      </c>
      <c r="N239" t="str">
        <f t="shared" si="18"/>
        <v>Low</v>
      </c>
      <c r="O239">
        <f t="shared" si="19"/>
        <v>0.25</v>
      </c>
    </row>
    <row r="240" spans="1:15" x14ac:dyDescent="0.3">
      <c r="A240">
        <v>10239</v>
      </c>
      <c r="B240" s="1">
        <v>45530</v>
      </c>
      <c r="C240" t="s">
        <v>23</v>
      </c>
      <c r="D240" t="s">
        <v>251</v>
      </c>
      <c r="E240" t="s">
        <v>15</v>
      </c>
      <c r="F240" t="s">
        <v>16</v>
      </c>
      <c r="G240">
        <v>1</v>
      </c>
      <c r="H240">
        <v>55</v>
      </c>
      <c r="I240">
        <v>55</v>
      </c>
      <c r="J240">
        <f t="shared" si="15"/>
        <v>13.75</v>
      </c>
      <c r="L240" t="str">
        <f t="shared" si="16"/>
        <v>Aug</v>
      </c>
      <c r="M240">
        <f t="shared" si="17"/>
        <v>2024</v>
      </c>
      <c r="N240" t="str">
        <f t="shared" si="18"/>
        <v>Low</v>
      </c>
      <c r="O240">
        <f t="shared" si="19"/>
        <v>0.25</v>
      </c>
    </row>
    <row r="241" spans="1:15" x14ac:dyDescent="0.3">
      <c r="A241">
        <v>10240</v>
      </c>
      <c r="B241" s="1">
        <v>45531</v>
      </c>
      <c r="C241" t="s">
        <v>25</v>
      </c>
      <c r="D241" t="s">
        <v>252</v>
      </c>
      <c r="E241" t="s">
        <v>19</v>
      </c>
      <c r="F241" t="s">
        <v>12</v>
      </c>
      <c r="G241">
        <v>2</v>
      </c>
      <c r="H241">
        <v>29.99</v>
      </c>
      <c r="I241">
        <v>59.98</v>
      </c>
      <c r="J241">
        <f t="shared" si="15"/>
        <v>14.994999999999999</v>
      </c>
      <c r="L241" t="str">
        <f t="shared" si="16"/>
        <v>Aug</v>
      </c>
      <c r="M241">
        <f t="shared" si="17"/>
        <v>2024</v>
      </c>
      <c r="N241" t="str">
        <f t="shared" si="18"/>
        <v>Low</v>
      </c>
      <c r="O241">
        <f t="shared" si="19"/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Online 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 Chaudhary</dc:creator>
  <cp:lastModifiedBy>Tanu Chaudhary</cp:lastModifiedBy>
  <dcterms:created xsi:type="dcterms:W3CDTF">2026-04-10T17:42:54Z</dcterms:created>
  <dcterms:modified xsi:type="dcterms:W3CDTF">2026-04-10T19:09:47Z</dcterms:modified>
</cp:coreProperties>
</file>